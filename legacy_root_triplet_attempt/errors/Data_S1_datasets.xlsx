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thpet/ownCloud/MPI-group-projects/Cedric/aa_misincorporations_manuscript/NatComm/"/>
    </mc:Choice>
  </mc:AlternateContent>
  <xr:revisionPtr revIDLastSave="0" documentId="13_ncr:1_{378B6A9F-CB5D-1B44-BCD7-49F01CB352B0}" xr6:coauthVersionLast="47" xr6:coauthVersionMax="47" xr10:uidLastSave="{00000000-0000-0000-0000-000000000000}"/>
  <bookViews>
    <workbookView xWindow="720" yWindow="520" windowWidth="32060" windowHeight="26780" activeTab="4" xr2:uid="{A6B53339-1540-4E4B-B362-A84281B6F589}"/>
  </bookViews>
  <sheets>
    <sheet name="S.cerevisiae_all" sheetId="4" r:id="rId1"/>
    <sheet name="S.cerevisiae_curated" sheetId="1" r:id="rId2"/>
    <sheet name="S.cerevisiae_used" sheetId="5" r:id="rId3"/>
    <sheet name="E.coli_all" sheetId="3" r:id="rId4"/>
    <sheet name="E.coli_curated" sheetId="2" r:id="rId5"/>
    <sheet name="E.coli_used" sheetId="6" r:id="rId6"/>
  </sheets>
  <definedNames>
    <definedName name="ecoli_summary_1" localSheetId="3">E.coli_all!$A$3:$D$148</definedName>
    <definedName name="filtered_summary" localSheetId="4">E.coli_curated!$A$3:$C$111</definedName>
    <definedName name="filtered_summary" localSheetId="1">S.cerevisiae_curated!$A$2:$C$114</definedName>
    <definedName name="filtered_summary_1" localSheetId="4">E.coli_curated!$A$3:$C$111</definedName>
    <definedName name="filtered_summary_1" localSheetId="1">S.cerevisiae_curated!$A$2:$C$114</definedName>
    <definedName name="yeast_summary_1" localSheetId="0">S.cerevisiae_all!$A$2:$D$187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9" i="5" l="1"/>
  <c r="B78" i="5"/>
  <c r="B77" i="5"/>
  <c r="B87" i="6"/>
  <c r="B86" i="6"/>
  <c r="B8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A7DD38-A5B9-5F47-B2B9-DAEA00892D7A}" name="ecoli_summary" type="6" refreshedVersion="8" background="1" saveData="1">
    <textPr sourceFile="/Users/landerer/Desktop/ecoli_summary.csv" comma="1" semicolon="1">
      <textFields count="4">
        <textField/>
        <textField/>
        <textField/>
        <textField/>
      </textFields>
    </textPr>
  </connection>
  <connection id="2" xr16:uid="{F1170BBC-980D-1E47-A4D1-3224BF7BB2D2}" name="filtered_summary" type="6" refreshedVersion="8" background="1" saveData="1">
    <textPr sourceFile="/Users/landerer/Desktop/filtered_summary.csv" decimal="," thousands="." comma="1">
      <textFields count="4">
        <textField/>
        <textField/>
        <textField/>
        <textField/>
      </textFields>
    </textPr>
  </connection>
  <connection id="3" xr16:uid="{DD8D32E7-9AED-214E-83C8-1E735150597D}" name="filtered_summary1" type="6" refreshedVersion="8" background="1" saveData="1">
    <textPr sourceFile="/Users/landerer/Desktop/filtered_summary.csv" decimal="," thousands="." comma="1">
      <textFields count="4">
        <textField/>
        <textField/>
        <textField/>
        <textField/>
      </textFields>
    </textPr>
  </connection>
  <connection id="4" xr16:uid="{077E8D7D-21FF-E24E-95B6-2CE7321478F7}" name="filtered_summary11" type="6" refreshedVersion="8" background="1" saveData="1">
    <textPr sourceFile="/Users/landerer/Desktop/filtered_summary.csv" decimal="," thousands="." comma="1">
      <textFields count="4">
        <textField/>
        <textField/>
        <textField/>
        <textField/>
      </textFields>
    </textPr>
  </connection>
  <connection id="5" xr16:uid="{1E67E83D-8666-0D45-807A-A4EC588CD663}" name="filtered_summary2" type="6" refreshedVersion="8" background="1" saveData="1">
    <textPr sourceFile="/Users/landerer/Desktop/filtered_summary.csv" decimal="," thousands="." comma="1">
      <textFields count="4">
        <textField/>
        <textField/>
        <textField/>
        <textField/>
      </textFields>
    </textPr>
  </connection>
  <connection id="6" xr16:uid="{3193A071-1355-F242-B753-555F15A1CBC6}" name="yeast_summary" type="6" refreshedVersion="8" background="1" saveData="1">
    <textPr sourceFile="/Users/landerer/Desktop/yeast_summary.csv" comma="1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<sst xmlns="http://schemas.openxmlformats.org/spreadsheetml/2006/main" count="1923" uniqueCount="897">
  <si>
    <t>Dataset</t>
  </si>
  <si>
    <t>PXD000205</t>
  </si>
  <si>
    <t>PXD000405</t>
  </si>
  <si>
    <t>PXD000887</t>
  </si>
  <si>
    <t>PXD001492</t>
  </si>
  <si>
    <t>PXD001714</t>
  </si>
  <si>
    <t>PXD002274</t>
  </si>
  <si>
    <t>PXD002694</t>
  </si>
  <si>
    <t>PXD003748</t>
  </si>
  <si>
    <t>PXD003841</t>
  </si>
  <si>
    <t>PXD003868</t>
  </si>
  <si>
    <t>PXD004074</t>
  </si>
  <si>
    <t>PXD004126</t>
  </si>
  <si>
    <t>PXD004297</t>
  </si>
  <si>
    <t>PXD005142</t>
  </si>
  <si>
    <t>PXD005227</t>
  </si>
  <si>
    <t>PXD005251</t>
  </si>
  <si>
    <t>PXD005943</t>
  </si>
  <si>
    <t>PXD006154</t>
  </si>
  <si>
    <t>PXD006249</t>
  </si>
  <si>
    <t>PXD006336</t>
  </si>
  <si>
    <t>PXD006510</t>
  </si>
  <si>
    <t>PXD006707</t>
  </si>
  <si>
    <t>PXD006767</t>
  </si>
  <si>
    <t>PXD007146</t>
  </si>
  <si>
    <t>PXD007155</t>
  </si>
  <si>
    <t>PXD007590</t>
  </si>
  <si>
    <t>PXD007735</t>
  </si>
  <si>
    <t>PXD007779</t>
  </si>
  <si>
    <t>PXD007780</t>
  </si>
  <si>
    <t>PXD008223</t>
  </si>
  <si>
    <t>PXD008586</t>
  </si>
  <si>
    <t>PXD008783</t>
  </si>
  <si>
    <t>PXD008785</t>
  </si>
  <si>
    <t>PXD008962</t>
  </si>
  <si>
    <t>PXD009264</t>
  </si>
  <si>
    <t>PXD009420</t>
  </si>
  <si>
    <t>PXD009648</t>
  </si>
  <si>
    <t>PXD009815</t>
  </si>
  <si>
    <t>PXD010700</t>
  </si>
  <si>
    <t>PXD010868</t>
  </si>
  <si>
    <t>PXD010981</t>
  </si>
  <si>
    <t>PXD011571</t>
  </si>
  <si>
    <t>PXD011774</t>
  </si>
  <si>
    <t>PXD011887</t>
  </si>
  <si>
    <t>PXD012377</t>
  </si>
  <si>
    <t>PXD012486</t>
  </si>
  <si>
    <t>PXD012617</t>
  </si>
  <si>
    <t>PXD012802</t>
  </si>
  <si>
    <t>PXD012803</t>
  </si>
  <si>
    <t>PXD012867</t>
  </si>
  <si>
    <t>PXD012964</t>
  </si>
  <si>
    <t>PXD013486</t>
  </si>
  <si>
    <t>PXD013769</t>
  </si>
  <si>
    <t>PXD013782</t>
  </si>
  <si>
    <t>PXD013834</t>
  </si>
  <si>
    <t>PXD013847</t>
  </si>
  <si>
    <t>PXD013884</t>
  </si>
  <si>
    <t>PXD014055</t>
  </si>
  <si>
    <t>PXD014756</t>
  </si>
  <si>
    <t>PXD015273</t>
  </si>
  <si>
    <t>PXD015281</t>
  </si>
  <si>
    <t>PXD015565</t>
  </si>
  <si>
    <t>PXD015674</t>
  </si>
  <si>
    <t>PXD016125</t>
  </si>
  <si>
    <t>PXD016196</t>
  </si>
  <si>
    <t>PXD016304</t>
  </si>
  <si>
    <t>PXD016338</t>
  </si>
  <si>
    <t>PXD016670</t>
  </si>
  <si>
    <t>PXD016750</t>
  </si>
  <si>
    <t>PXD016772</t>
  </si>
  <si>
    <t>PXD016914</t>
  </si>
  <si>
    <t>PXD017114</t>
  </si>
  <si>
    <t>PXD017196</t>
  </si>
  <si>
    <t>PXD017396</t>
  </si>
  <si>
    <t>PXD018232</t>
  </si>
  <si>
    <t>PXD018762</t>
  </si>
  <si>
    <t>PXD019083</t>
  </si>
  <si>
    <t>PXD019170</t>
  </si>
  <si>
    <t>PXD019274</t>
  </si>
  <si>
    <t>PXD019275</t>
  </si>
  <si>
    <t>PXD019287</t>
  </si>
  <si>
    <t>PXD019513</t>
  </si>
  <si>
    <t>PXD019646</t>
  </si>
  <si>
    <t>PXD019647</t>
  </si>
  <si>
    <t>PXD019754</t>
  </si>
  <si>
    <t>PXD020359</t>
  </si>
  <si>
    <t>PXD020623</t>
  </si>
  <si>
    <t>PXD020689</t>
  </si>
  <si>
    <t>PXD020833</t>
  </si>
  <si>
    <t>PXD020849</t>
  </si>
  <si>
    <t>PXD021085</t>
  </si>
  <si>
    <t>PXD021212</t>
  </si>
  <si>
    <t>PXD021329</t>
  </si>
  <si>
    <t>PXD021470</t>
  </si>
  <si>
    <t>PXD021502</t>
  </si>
  <si>
    <t>PXD021530</t>
  </si>
  <si>
    <t>PXD021662</t>
  </si>
  <si>
    <t>PXD022625</t>
  </si>
  <si>
    <t>PXD022757</t>
  </si>
  <si>
    <t>PXD026077</t>
  </si>
  <si>
    <t>PXD028579</t>
  </si>
  <si>
    <t>PXD029997</t>
  </si>
  <si>
    <t>PXD032063</t>
  </si>
  <si>
    <t>PXD032098</t>
  </si>
  <si>
    <t>PXD032241</t>
  </si>
  <si>
    <t>PXD033193</t>
  </si>
  <si>
    <t>PXD033397</t>
  </si>
  <si>
    <t>PXD033843</t>
  </si>
  <si>
    <t>PXD035762</t>
  </si>
  <si>
    <t>PXD036414</t>
  </si>
  <si>
    <t>PXD036508</t>
  </si>
  <si>
    <t>PXD000367</t>
  </si>
  <si>
    <t>PXD000498</t>
  </si>
  <si>
    <t>PXD001226</t>
  </si>
  <si>
    <t>PXD001947</t>
  </si>
  <si>
    <t>PXD001968</t>
  </si>
  <si>
    <t>PXD001983</t>
  </si>
  <si>
    <t>PXD002012</t>
  </si>
  <si>
    <t>PXD002140</t>
  </si>
  <si>
    <t>PXD002473</t>
  </si>
  <si>
    <t>PXD002912</t>
  </si>
  <si>
    <t>PXD003063</t>
  </si>
  <si>
    <t>PXD003641</t>
  </si>
  <si>
    <t>PXD004321</t>
  </si>
  <si>
    <t>PXD004351</t>
  </si>
  <si>
    <t>PXD005164</t>
  </si>
  <si>
    <t>PXD005259</t>
  </si>
  <si>
    <t>PXD005642</t>
  </si>
  <si>
    <t>PXD005757</t>
  </si>
  <si>
    <t>PXD006474</t>
  </si>
  <si>
    <t>PXD006717</t>
  </si>
  <si>
    <t>PXD007087</t>
  </si>
  <si>
    <t>PXD007587</t>
  </si>
  <si>
    <t>PXD008093</t>
  </si>
  <si>
    <t>PXD008211</t>
  </si>
  <si>
    <t>PXD008777</t>
  </si>
  <si>
    <t>PXD008782</t>
  </si>
  <si>
    <t>PXD009242</t>
  </si>
  <si>
    <t>PXD009463</t>
  </si>
  <si>
    <t>PXD009674</t>
  </si>
  <si>
    <t>PXD009736</t>
  </si>
  <si>
    <t>PXD010014</t>
  </si>
  <si>
    <t>PXD010101</t>
  </si>
  <si>
    <t>PXD010174</t>
  </si>
  <si>
    <t>PXD010237</t>
  </si>
  <si>
    <t>PXD010988</t>
  </si>
  <si>
    <t>PXD011051</t>
  </si>
  <si>
    <t>PXD011286</t>
  </si>
  <si>
    <t>PXD011437</t>
  </si>
  <si>
    <t>PXD012320</t>
  </si>
  <si>
    <t>PXD012370</t>
  </si>
  <si>
    <t>PXD012725</t>
  </si>
  <si>
    <t>PXD013088</t>
  </si>
  <si>
    <t>PXD013273</t>
  </si>
  <si>
    <t>PXD013600</t>
  </si>
  <si>
    <t>PXD013610</t>
  </si>
  <si>
    <t>PXD014049</t>
  </si>
  <si>
    <t>PXD014096</t>
  </si>
  <si>
    <t>PXD014341</t>
  </si>
  <si>
    <t>PXD015275</t>
  </si>
  <si>
    <t>PXD015752</t>
  </si>
  <si>
    <t>PXD015985</t>
  </si>
  <si>
    <t>PXD016001</t>
  </si>
  <si>
    <t>PXD016074</t>
  </si>
  <si>
    <t>PXD016669</t>
  </si>
  <si>
    <t>PXD016825</t>
  </si>
  <si>
    <t>PXD017048</t>
  </si>
  <si>
    <t>PXD017584</t>
  </si>
  <si>
    <t>PXD017618</t>
  </si>
  <si>
    <t>PXD018660</t>
  </si>
  <si>
    <t>PXD018935</t>
  </si>
  <si>
    <t>PXD019012</t>
  </si>
  <si>
    <t>PXD019140</t>
  </si>
  <si>
    <t>PXD019188</t>
  </si>
  <si>
    <t>PXD019288</t>
  </si>
  <si>
    <t>PXD019508</t>
  </si>
  <si>
    <t>PXD019900</t>
  </si>
  <si>
    <t>PXD021374</t>
  </si>
  <si>
    <t>PXD021870</t>
  </si>
  <si>
    <t>PXD021872</t>
  </si>
  <si>
    <t>PXD022098</t>
  </si>
  <si>
    <t>PXD022149</t>
  </si>
  <si>
    <t>PXD022286</t>
  </si>
  <si>
    <t>PXD022526</t>
  </si>
  <si>
    <t>PXD022786</t>
  </si>
  <si>
    <t>PXD022965</t>
  </si>
  <si>
    <t>PXD023192</t>
  </si>
  <si>
    <t>PXD023729</t>
  </si>
  <si>
    <t>PXD023736</t>
  </si>
  <si>
    <t>PXD023945</t>
  </si>
  <si>
    <t>PXD023998</t>
  </si>
  <si>
    <t>PXD024138</t>
  </si>
  <si>
    <t>PXD024151</t>
  </si>
  <si>
    <t>PXD024231</t>
  </si>
  <si>
    <t>PXD024458</t>
  </si>
  <si>
    <t>PXD024782</t>
  </si>
  <si>
    <t>PXD024889</t>
  </si>
  <si>
    <t>PXD025088</t>
  </si>
  <si>
    <t>PXD025370</t>
  </si>
  <si>
    <t>PXD025534</t>
  </si>
  <si>
    <t>PXD025706</t>
  </si>
  <si>
    <t>PXD025875</t>
  </si>
  <si>
    <t>PXD026017</t>
  </si>
  <si>
    <t>PXD026062</t>
  </si>
  <si>
    <t>PXD026884</t>
  </si>
  <si>
    <t>PXD027164</t>
  </si>
  <si>
    <t>PXD027167</t>
  </si>
  <si>
    <t>PXD027810</t>
  </si>
  <si>
    <t>PXD029252</t>
  </si>
  <si>
    <t>PXD029931</t>
  </si>
  <si>
    <t>PXD030113</t>
  </si>
  <si>
    <t>PXD030233</t>
  </si>
  <si>
    <t>PXD031173</t>
  </si>
  <si>
    <t>PXD031441</t>
  </si>
  <si>
    <t>PXD031540</t>
  </si>
  <si>
    <t>PXD032954</t>
  </si>
  <si>
    <t>PXD033577</t>
  </si>
  <si>
    <t>PXD033975</t>
  </si>
  <si>
    <t>PXD034138</t>
  </si>
  <si>
    <t>PXD034417</t>
  </si>
  <si>
    <t>PXD000269</t>
  </si>
  <si>
    <t>PXD002705</t>
  </si>
  <si>
    <t>PXD005901</t>
  </si>
  <si>
    <t>PXD006008</t>
  </si>
  <si>
    <t>PXD006908</t>
  </si>
  <si>
    <t>PXD007097</t>
  </si>
  <si>
    <t>PXD007651</t>
  </si>
  <si>
    <t>PXD007864</t>
  </si>
  <si>
    <t>PXD008425</t>
  </si>
  <si>
    <t>PXD008688</t>
  </si>
  <si>
    <t>PXD008975</t>
  </si>
  <si>
    <t>PXD009000</t>
  </si>
  <si>
    <t>PXD009643</t>
  </si>
  <si>
    <t>PXD010396</t>
  </si>
  <si>
    <t>PXD010490</t>
  </si>
  <si>
    <t>PXD012023</t>
  </si>
  <si>
    <t>PXD012109</t>
  </si>
  <si>
    <t>PXD012929</t>
  </si>
  <si>
    <t>PXD013319</t>
  </si>
  <si>
    <t>PXD016205</t>
  </si>
  <si>
    <t>PXD016403</t>
  </si>
  <si>
    <t>PXD018123</t>
  </si>
  <si>
    <t>PXD020249</t>
  </si>
  <si>
    <t>PXD020525</t>
  </si>
  <si>
    <t>PXD021198</t>
  </si>
  <si>
    <t>PXD021681</t>
  </si>
  <si>
    <t>PXD021798</t>
  </si>
  <si>
    <t>PXD022112</t>
  </si>
  <si>
    <t>PXD023073</t>
  </si>
  <si>
    <t>PXD025876</t>
  </si>
  <si>
    <t>PXD025926</t>
  </si>
  <si>
    <t>PXD029563</t>
  </si>
  <si>
    <t>PXD029624</t>
  </si>
  <si>
    <t>PXD030973</t>
  </si>
  <si>
    <t>PXD031124</t>
  </si>
  <si>
    <t>PXD031425</t>
  </si>
  <si>
    <t>PXD031925</t>
  </si>
  <si>
    <t>PXD035877</t>
  </si>
  <si>
    <t>Yes</t>
  </si>
  <si>
    <t>No</t>
  </si>
  <si>
    <t>PXD000409</t>
  </si>
  <si>
    <t>PXD000507</t>
  </si>
  <si>
    <t>PXD001695</t>
  </si>
  <si>
    <t>PXD001853</t>
  </si>
  <si>
    <t>PXD002168</t>
  </si>
  <si>
    <t>PXD002197</t>
  </si>
  <si>
    <t>PXD002199</t>
  </si>
  <si>
    <t>PXD002200</t>
  </si>
  <si>
    <t>PXD002201</t>
  </si>
  <si>
    <t>PXD002204</t>
  </si>
  <si>
    <t>PXD002205</t>
  </si>
  <si>
    <t>PXD002287</t>
  </si>
  <si>
    <t>PXD002293</t>
  </si>
  <si>
    <t>PXD003174</t>
  </si>
  <si>
    <t>PXD003238</t>
  </si>
  <si>
    <t>PXD003435</t>
  </si>
  <si>
    <t>PXD003854</t>
  </si>
  <si>
    <t>PXD003871</t>
  </si>
  <si>
    <t>PXD004294</t>
  </si>
  <si>
    <t>PXD004299</t>
  </si>
  <si>
    <t>PXD004300</t>
  </si>
  <si>
    <t>PXD004461</t>
  </si>
  <si>
    <t>PXD004749</t>
  </si>
  <si>
    <t>PXD005041</t>
  </si>
  <si>
    <t>PXD005948</t>
  </si>
  <si>
    <t>PXD006192</t>
  </si>
  <si>
    <t>PXD007157</t>
  </si>
  <si>
    <t>PXD007525</t>
  </si>
  <si>
    <t>PXD007858</t>
  </si>
  <si>
    <t>PXD008175</t>
  </si>
  <si>
    <t>PXD008327</t>
  </si>
  <si>
    <t>PXD008535</t>
  </si>
  <si>
    <t>PXD009214</t>
  </si>
  <si>
    <t>PXD009443</t>
  </si>
  <si>
    <t>PXD009699</t>
  </si>
  <si>
    <t>PXD009937</t>
  </si>
  <si>
    <t>PXD009951</t>
  </si>
  <si>
    <t>PXD009980</t>
  </si>
  <si>
    <t>PXD010481</t>
  </si>
  <si>
    <t>PXD010660</t>
  </si>
  <si>
    <t>PXD010780</t>
  </si>
  <si>
    <t>PXD011235</t>
  </si>
  <si>
    <t>PXD011236</t>
  </si>
  <si>
    <t>PXD011562</t>
  </si>
  <si>
    <t>PXD011725</t>
  </si>
  <si>
    <t>PXD011775</t>
  </si>
  <si>
    <t>PXD011789</t>
  </si>
  <si>
    <t>PXD012418</t>
  </si>
  <si>
    <t>PXD012891</t>
  </si>
  <si>
    <t>PXD013955</t>
  </si>
  <si>
    <t>PXD014173</t>
  </si>
  <si>
    <t>PXD014185</t>
  </si>
  <si>
    <t>PXD016376</t>
  </si>
  <si>
    <t>PXD016577</t>
  </si>
  <si>
    <t>PXD017134</t>
  </si>
  <si>
    <t>PXD018591</t>
  </si>
  <si>
    <t>PXD018681</t>
  </si>
  <si>
    <t>PXD018733</t>
  </si>
  <si>
    <t>PXD019141</t>
  </si>
  <si>
    <t>PXD021831</t>
  </si>
  <si>
    <t>PXD021855</t>
  </si>
  <si>
    <t>PXD022605</t>
  </si>
  <si>
    <t>PXD022621</t>
  </si>
  <si>
    <t>PXD022964</t>
  </si>
  <si>
    <t>PXD023383</t>
  </si>
  <si>
    <t>PXD027872</t>
  </si>
  <si>
    <t>PXD030106</t>
  </si>
  <si>
    <t>PXD030110</t>
  </si>
  <si>
    <t>PXD030436</t>
  </si>
  <si>
    <t>PXD031330</t>
  </si>
  <si>
    <t>PXD031610</t>
  </si>
  <si>
    <t>PXD032321</t>
  </si>
  <si>
    <t>PXD032862</t>
  </si>
  <si>
    <t>PXD000269 (SAX,SCX yeast only)</t>
  </si>
  <si>
    <t>DOI</t>
  </si>
  <si>
    <t>Comments</t>
  </si>
  <si>
    <t xml:space="preserve"> https://doi.10.1002/pmic.201300328</t>
  </si>
  <si>
    <t>Proteomic analysis of outer membrane vesicles from the probiotic strain Escherichia coli Nissle 1917.</t>
  </si>
  <si>
    <t>probiotic strain Escherichia coli Nissle</t>
  </si>
  <si>
    <t>https://doi.org/10.1038/nbt.3418</t>
  </si>
  <si>
    <t>The quantitative and condition-dependent Escherichia coli proteome.</t>
  </si>
  <si>
    <t>Checking 22 exp conditions, could be interesting to see if there are some with more errors</t>
  </si>
  <si>
    <t>https://doi.org/10.15252/msb.20145227</t>
  </si>
  <si>
    <t>Protein deacetylation affects acetate metabolism, motility and acid stress response in Escherichia coli</t>
  </si>
  <si>
    <t>2,000 unique acetylated peptides, belonging to 809 proteins</t>
  </si>
  <si>
    <t>https://doi.org/10.1002/pmic.201500025</t>
  </si>
  <si>
    <t>Molecular identification and functional characterization of the first Nα-acetyltransferase in plastids by global acetylome profiling</t>
  </si>
  <si>
    <t>Acetylome</t>
  </si>
  <si>
    <t>https://doi.org/10.15252/msb.20166998</t>
  </si>
  <si>
    <t>Bacterial persistence is an active σS stress response to metabolic flux limitation</t>
  </si>
  <si>
    <t>Starvation</t>
  </si>
  <si>
    <t>https://doi.org/10.1002/pmic.201500027</t>
  </si>
  <si>
    <t>Proteome-wide analysis of the amino terminal status of Escherichia coli proteins at the steady-state and upon deformylation inhibition</t>
  </si>
  <si>
    <t>Deformlytaion inhibition</t>
  </si>
  <si>
    <t>https://doi.org/10.1371/journal.pcbi.1004400</t>
  </si>
  <si>
    <t>Controlled Measurement and Comparative Analysis of Cellular Components in E. coli Reveals Broad Regulatory Changes in Response to Glucose Starvation</t>
  </si>
  <si>
    <t>Glucose starvation</t>
  </si>
  <si>
    <t>https://doi.org/10.1002/pmic.201500278</t>
  </si>
  <si>
    <t>Improving genome annotation of enterotoxigenic Escherichia coliTW10598 by a label-free quantitative MS/MS approach</t>
  </si>
  <si>
    <t>Normal conditions</t>
  </si>
  <si>
    <t>https://doi.org/10.1074/mcp.m116.060582</t>
  </si>
  <si>
    <t>Coordination of Metabolism and Virulence Factors Expression of Extraintestinal Pathogenic Escherichia coli Purified from Blood Cultures of Patients with Sepsis.</t>
  </si>
  <si>
    <t>Extraintestinal Pathogenic Escherichia coli </t>
  </si>
  <si>
    <t>https://doi.org/10.1074/jbc.m115.702308</t>
  </si>
  <si>
    <t>Allicin Induces Thiol Stress in Bacteria through S-Allylmercapto Modification of Protein Cysteines.</t>
  </si>
  <si>
    <t>S-allylmercapto modification of cysteines</t>
  </si>
  <si>
    <t>https://doi.org/10.1016/j.jprot.2016.12.017</t>
  </si>
  <si>
    <t>Quantitative proteome analysis of an antibiotic resistant Escherichia coli exposed to tetracycline reveals multiple affected metabolic and peptidoglycan processes</t>
  </si>
  <si>
    <t>Tetracyclin treatment - Tetracycline inhibits protein synthesis by blocking the attachment of charged tRNA at the P site peptide chain</t>
  </si>
  <si>
    <t>https://doi.org/10.1074/mcp.M116.061721</t>
  </si>
  <si>
    <t>Typing and Characterization of Bacteria Using Bottom-up Tandem Mass Spectrometry Proteomics</t>
  </si>
  <si>
    <t>Multispecies dataset, one K12 Ecoli and one strain</t>
  </si>
  <si>
    <t>https://doi.org/10.1016/j.jprot.2016.11.003</t>
  </si>
  <si>
    <t>Candidate Brocadiales dominates C, N and S cycling in anoxic groundwater of a pristine limestone-fracture aquifer</t>
  </si>
  <si>
    <t>Environmental sample, not WT</t>
  </si>
  <si>
    <t>https://10.1007/s00216-017-0326-6</t>
  </si>
  <si>
    <t>Quantitative analysis of the cysteine redoxome by iodoacetyl tandem mass tags</t>
  </si>
  <si>
    <t>Check cysteines</t>
  </si>
  <si>
    <t>https://10.1021/acs.jproteome.7b00593</t>
  </si>
  <si>
    <t>Proteomics of Diverse Clonal Groups of Enterotoxigenic Escherichia coli Underline Variations in Surface Antigens and Similarities in Metabolism</t>
  </si>
  <si>
    <t xml:space="preserve">Enterotoxigenic Escherichia coli </t>
  </si>
  <si>
    <t>None</t>
  </si>
  <si>
    <t>MSstats splitplot method for protein quantitation in MS datasets</t>
  </si>
  <si>
    <t>Thirty commercial proteins were mixed with Ecoli, hopefully from Ecoli!</t>
  </si>
  <si>
    <t>https://doi.org/10.1074/mcp.m117.067587</t>
  </si>
  <si>
    <t>Accurate Quantification of Site-specific Acetylation Stoichiometry Reveals the Impact of Sirtuin Deacetylase CobB on the E. coli Acetylome.</t>
  </si>
  <si>
    <t>Acetylation entiched</t>
  </si>
  <si>
    <t>https://doi.org/10.1128/mBio.02118-17</t>
  </si>
  <si>
    <t>Translation Stress Positively Regulates MscL-Dependent Excretion of Cytoplasmic Proteins</t>
  </si>
  <si>
    <t>Osmotic stress, translation stress, 5 recombinant proteins</t>
  </si>
  <si>
    <t>https://doi.org/10.1093/nar/gkx719</t>
  </si>
  <si>
    <t>Direct Interactions of RNA Polymerase with Ribosomes and Ribosomal Subunits in E. Coli</t>
  </si>
  <si>
    <t>Not a proteome</t>
  </si>
  <si>
    <t>https://doi.org/10.15252/embj.201797515</t>
  </si>
  <si>
    <t>Hierarchical protein targeting and secretion is controlled by an affinity switch in the type III secretion system of enteropathogenic Escherichia coli</t>
  </si>
  <si>
    <t>enteropathogenic Escherichia coli</t>
  </si>
  <si>
    <t>https://doi.org/10.1093/bioinformatics/btx601</t>
  </si>
  <si>
    <t>Sipros Ensemble improves database searching and filtering for complex metaproteomics</t>
  </si>
  <si>
    <t>metaproteomics from soil</t>
  </si>
  <si>
    <t>https://doi.org/10.3389/fmicb.2018.01282</t>
  </si>
  <si>
    <t>Microbial Community Structure–Function Relationships in Yaquina Bay Estuary Reveal Spatially Distinct Carbon and Nitrogen Cycling Capacities</t>
  </si>
  <si>
    <t>environemntal sample</t>
  </si>
  <si>
    <t>https://doi.org/10.1016/j.jprot.2018.03.028</t>
  </si>
  <si>
    <t>Parallel reaction monitoring on a Q Exactive mass spectrometer increases reproducibility of phosphopeptide detection in bacterial phosphoproteomics measurements</t>
  </si>
  <si>
    <t>Ser/Thr/Tyr phosphorylation</t>
  </si>
  <si>
    <t>https://doi.org/10.1128/AEM.00270-18</t>
  </si>
  <si>
    <t>Optimizing Recombinant Protein Production in the Escherichia coli Periplasm Alleviates Stress</t>
  </si>
  <si>
    <t>Open-pFind enables precise, comprehensive and rapid peptide identification in shotgun proteomics, part 1</t>
  </si>
  <si>
    <t>Dong-Ecoli-QE</t>
  </si>
  <si>
    <t>https://doi.org/10.1128/mSystems.00163-19</t>
  </si>
  <si>
    <t>Comprehensive analysis of vanillin toxicity in Escherichia coli identifies targets for engineering improved biovanillin production</t>
  </si>
  <si>
    <t>E. coli BW25113</t>
  </si>
  <si>
    <t>https://doi.org/10.1128/JB.00610-18</t>
  </si>
  <si>
    <t>Importance of Pyruvate Sensing and Transport for the Resuscitation of Viable but Nonculturable Escherichia coli K-12</t>
  </si>
  <si>
    <t>https://doi.org/10.1128/mSphere.00175-19</t>
  </si>
  <si>
    <t>Photocatalytic Protein Damage by Silver Nanoparticles Circumvents Bacterial Stress Response and Multidrug Resistance</t>
  </si>
  <si>
    <t>https://doi.org/10.1074/jbc.RA118.006914</t>
  </si>
  <si>
    <t>Deuterium induces a distinctive Escherichia coliproteome that correlates with the reduction in growth rate</t>
  </si>
  <si>
    <t>Deuterium</t>
  </si>
  <si>
    <t>https://doi.org/10.3389/fmolb.2021.653073</t>
  </si>
  <si>
    <t>Bacterial Hsp90 mediates the degradation of aggregation-prone Hsp70-Hsp40 substrates preferentially by the HslUV protease</t>
  </si>
  <si>
    <t>W3110 E. coli</t>
  </si>
  <si>
    <t>Stress-induced MazF-mediated proteins in Escherichia coli</t>
  </si>
  <si>
    <t>Not proteome</t>
  </si>
  <si>
    <t>https://10.1038/s41586-019-1665-6</t>
  </si>
  <si>
    <t>Chimeric peptidomimetic antibiotics against Gram-negative bacteria</t>
  </si>
  <si>
    <t>https://10.1021/acs.jproteome.8b00505</t>
  </si>
  <si>
    <t>S-Trap, an Ultrafast Sample-Preparation Approach for Shotgun Proteomics</t>
  </si>
  <si>
    <t>https://doi.org/10.1126/sciadv.aau2634</t>
  </si>
  <si>
    <t>Thanatin targets the intermembrane protein complex required for lipopolysaccharide transport in Escherichia coli</t>
  </si>
  <si>
    <t>On the Mechanism and Origin of Isoleucyl-tRNA Synthetase Editing against Norvaline</t>
  </si>
  <si>
    <t>aatRNA sythase mutant</t>
  </si>
  <si>
    <t>Real-time visualization of drug resistance acquisition by horizontal gene transfer reveals a new role for AcrAB-TolC multidrug efflux pump</t>
  </si>
  <si>
    <t>https://10.1186/s12934-019-1182-1</t>
  </si>
  <si>
    <t>Improving the purification of membrane proteins from Escherichia coli C41(DE3)</t>
  </si>
  <si>
    <t>https://doi.org/10.1128/mBio.01832-19</t>
  </si>
  <si>
    <t>Interactome of the Escherichia coli nitrate reductase respiratory complex, NarGHI, under various metabolic conditions</t>
  </si>
  <si>
    <t>not proteome</t>
  </si>
  <si>
    <t>https://10.1038/s41594-019-0196-z</t>
  </si>
  <si>
    <t>A folded conformation of MukBEF and Cohesin</t>
  </si>
  <si>
    <t>https://10.1186/s40168-020-00806-z</t>
  </si>
  <si>
    <t>Rapid Assay of Individual Microbiome responses to drugs data part2</t>
  </si>
  <si>
    <t>microbiome and drug treatment</t>
  </si>
  <si>
    <t>https://doi.org/10.1128/mSystems.00187-19</t>
  </si>
  <si>
    <t>Systems analyses reveal the remarkable resilience of Escherichia coli physiology during accumulation and export of the non-native organic acid citramalate</t>
  </si>
  <si>
    <t>https://doi.org/10.1002/pmic.201900136</t>
  </si>
  <si>
    <t>Tandem LysC/trypsin digestion performs efficient in detergent conditions and under constant denaturating environments</t>
  </si>
  <si>
    <t>An in vitro model maintaining taxon-specific functional activities of the gut microbiome</t>
  </si>
  <si>
    <t>microbiome</t>
  </si>
  <si>
    <t>https://10.1111/febs.14951</t>
  </si>
  <si>
    <t>Resolving oxidative damage to methionine by an unexpected membrane-associated stereoselective reductase discovered using chiral fluorescent probes</t>
  </si>
  <si>
    <t>Addition of RND1 peptide to E. coli BW25113 DELserB, his operator to lacZ transcription fusion.</t>
  </si>
  <si>
    <t>Label-free proteomic approach to study the non-lethal effects of silver nanoparticles on a biofilm gut model</t>
  </si>
  <si>
    <t>https://doi.org/10.1016/j.molcel.2019.06.041</t>
  </si>
  <si>
    <t>Systematic detection of amino acid substitutions in proteomes reveals a mechanistic basis of ribosome errors and selection for translation fidelity</t>
  </si>
  <si>
    <t>https://10.1016/j.jprot.2019.103544</t>
  </si>
  <si>
    <t>Ligand-induced disorder-to-order transitions characterized by structural proteomics and molecular dynamics simulations</t>
  </si>
  <si>
    <t>crosslinking study, not proteome</t>
  </si>
  <si>
    <t>Arg-GlcNAcylation of GshB, An intra-bacterial activity for a T3SS effector</t>
  </si>
  <si>
    <t>https://doi.org/10.1074/jbc.RA119.010686</t>
  </si>
  <si>
    <t>Non-competitive binding of PpiD and YidC to the SecYEG translocon expands the global view on the SecYEG interactome in E. coli</t>
  </si>
  <si>
    <t>https://10.1021/acsinfecdis.0c00196</t>
  </si>
  <si>
    <t>Predictive signatures of 19 antibiotics-induced Escherichia coli proteomes</t>
  </si>
  <si>
    <t>antibiotic treatment</t>
  </si>
  <si>
    <t>https://10.1021/acs.analchem.0c00328</t>
  </si>
  <si>
    <t>Beyond target-decoy competition: stable validation of peptide and protein identifications in mass spectrometry-based discovery proteomics</t>
  </si>
  <si>
    <t>https://10.15252/embj.2019102246</t>
  </si>
  <si>
    <t>NlpI scaffolds hydrolases within peptidoglycan multi-enzyme complexes in Escherichia coli</t>
  </si>
  <si>
    <t>https://10.1021/acs.jproteome.9b00713</t>
  </si>
  <si>
    <t>Tryp-N: A thermostable protease for the production of N-terminal argininyl and lysinyl peptides</t>
  </si>
  <si>
    <t>https://10.1021/acs.jproteome.0c00105</t>
  </si>
  <si>
    <t>Protocol for high-yield production of photo-leucine-labeled proteins in Escherichia coli</t>
  </si>
  <si>
    <t>ProteoCombiner: integrating bottom-up with top-down proteomics data for improved proteoform assessment</t>
  </si>
  <si>
    <t>https://10.1038/s41467-020-16898-y,</t>
  </si>
  <si>
    <t>Chimeric design of Pyrrolysyl-tRNA synthetase/tRNA pairs and canonical synthetase/tRNA pairs for genetic code expansion</t>
  </si>
  <si>
    <t>https://10.1038/s41598-020-69313-3</t>
  </si>
  <si>
    <t>Structural Analysis of 70S Ribosomes by Cross-Linking/Mass Spectrometry Reveals Conformational Plasticity</t>
  </si>
  <si>
    <t>Genome-wide effects of the antimicrobial peptide apidaecin on translation termination</t>
  </si>
  <si>
    <t>impact on translation fidelity?</t>
  </si>
  <si>
    <t>https://10.1016/j.mex.2021.101277</t>
  </si>
  <si>
    <t>Comparison between the proteome of Escherichia coli single colony and during liquid culture</t>
  </si>
  <si>
    <t>Translation Error Clusters Induced by Aminoglycoside Antibiotics</t>
  </si>
  <si>
    <t>COPPER INDUCES PROTEIN AGGREGATION, A TOXIC PROCESS COMPENSATED BY MOLECULAR CHAPERONES.</t>
  </si>
  <si>
    <t>Expanding the cross-link coverage of a dihydrazide-based carboxyl-group specific chemical cross-linking strategy - Dataset 3: E. coli 70S ribosome</t>
  </si>
  <si>
    <t>Grad-seq shines light on unrecognized RNA and protein complexes in the model bacterium Escherichia coli</t>
  </si>
  <si>
    <t>https://10.1016/j.molcel.2021.02.006</t>
  </si>
  <si>
    <t>Snapshots of native pre-50S ribosomes reveal a biogenesis factor network and evolutionary specialization</t>
  </si>
  <si>
    <t>https://10.1002/pro.3924</t>
  </si>
  <si>
    <t>Photo-crosslinking of SurA (p-azido-Phe) to unfolded Omps (OmpA and OmpX)</t>
  </si>
  <si>
    <t>Chemical-crosslinking of SurA with DSBU to unfolded Omps (OmpA and OmpX)</t>
  </si>
  <si>
    <t>Ceragenins and antimicrobial peptides kill bacteria through distinct mechanisms</t>
  </si>
  <si>
    <t>Proteomic analysis of three Crohn’s Disease-Associated Escherichia coli isolates cultivated on medium supplemented with glucose or sodium propionate</t>
  </si>
  <si>
    <t>Subcellular fractionation of Escherichia coli by differential solubilization and analysis by Maxquant LFQ-analysis</t>
  </si>
  <si>
    <t>https://10.3389/fmicb.2021.628801</t>
  </si>
  <si>
    <t>Proteomic analysis of outer membrane vesicle isolation methods with an Escherichia coli tolA mutant using LC MSMS</t>
  </si>
  <si>
    <t>Metabolome and proteome analyses of glycerol overproducing E. coli unravel transcriptional misregulation of glycolysis and guide optimization strategies</t>
  </si>
  <si>
    <t>https://10.3389/fmolb.2021.643696</t>
  </si>
  <si>
    <t>The universally conserved ATPase YchF regulates translation of leaderless mRNA in response to stress conditions</t>
  </si>
  <si>
    <t>overexpression</t>
  </si>
  <si>
    <t>Escherichia coli proteome during outgrowth from stationary phase</t>
  </si>
  <si>
    <t>https://10.1038/s41598-021-91905-w</t>
  </si>
  <si>
    <t>A systematic exploration of antimicrobial resistance to beta-lactams, aminoglycosides and fluoroquinolones in Escherichia coli and Klebsiella pneumoniae using proteogenomics</t>
  </si>
  <si>
    <t>Proteome profiling of Escherichia coli mutants</t>
  </si>
  <si>
    <t>Uropathogenic Escherichia coli biofilm proteomics</t>
  </si>
  <si>
    <t>strains</t>
  </si>
  <si>
    <t>https://10.1186/s12866-021-02176-4</t>
  </si>
  <si>
    <t>Proteomic response of Escherichia coli to membrane lytic and iron chelating Amaranthus tricolor defensin</t>
  </si>
  <si>
    <t>ribososmal inhibition</t>
  </si>
  <si>
    <t>Escherichia coli proteome upon sudden carbon starvation</t>
  </si>
  <si>
    <t>A proteomic study of bacterial growth arrest in a synthetic biology application</t>
  </si>
  <si>
    <t>https://10.1002/cbic.202100257</t>
  </si>
  <si>
    <t>Preparation of a high expression yield bacterial cell extract via lysozyme-assisted sonication</t>
  </si>
  <si>
    <t>Balanced Input from the tRNA Prenyltransferase MiaA Controls the Stress Resistance and Virulence Potential of Extraintestinal Pathogenic Escherichia coli</t>
  </si>
  <si>
    <t>UNN codons should be affected</t>
  </si>
  <si>
    <t>https:// 10.1038/s41396-021-01163-x</t>
  </si>
  <si>
    <t>Sulfur-fueled chemolithoautotrophs replenish organic carbon inventory in groundwater</t>
  </si>
  <si>
    <t>https://10.1021/acschembio.1c00322</t>
  </si>
  <si>
    <t>Polymyxin resistance in colibactin-producing Escherichia coli induces host genotoxicity</t>
  </si>
  <si>
    <t>antibitic but does not affect translation?</t>
  </si>
  <si>
    <t>https://10.3390/BIOM11060843</t>
  </si>
  <si>
    <t>Nucleoside Analogues are Potent Inducers of Bacterial Mutagenesis</t>
  </si>
  <si>
    <t>https://10.3390/microorganisms9071368,</t>
  </si>
  <si>
    <t>Insights into autotrophic activities and carbon flow in iron-rich pelagic aggregates (iron snow)</t>
  </si>
  <si>
    <t>multiscpecies</t>
  </si>
  <si>
    <t>https://10.1016/j.jprot.2021.104357</t>
  </si>
  <si>
    <t>Effect of resveratrol on avian pathogenic Escherichia coli</t>
  </si>
  <si>
    <t>https://10.1093/nar/gkab1224</t>
  </si>
  <si>
    <t>Dynamic 23S rRNA modification ho5C2501 benefits Escherichia coli under oxidative stress</t>
  </si>
  <si>
    <t>rRNA modification</t>
  </si>
  <si>
    <t>Identification of MukBHN conformational changes upon AcpP binding using cross-linking mass spectrometry</t>
  </si>
  <si>
    <t>Identification of AcpP-MukB binding sites using cross-linking mass spectrometry</t>
  </si>
  <si>
    <t>https://10.1371/journal.pone.0266921</t>
  </si>
  <si>
    <t>E. coli BL21 Gold LC-MSMS in varying growth conditions</t>
  </si>
  <si>
    <t>Global protein responses of multi-drug resistant plasmid containing Escherichia coli to beta-lactams and ciprofloxacin</t>
  </si>
  <si>
    <t>https://10.1038/s41586-021-04003-2</t>
  </si>
  <si>
    <t>Metabolic modulation of tumors with engineered bacteria for immunotherapy</t>
  </si>
  <si>
    <t>low Arg levels</t>
  </si>
  <si>
    <t>Targeting the fitness cost of antibiotic resistance via the non-essential genome</t>
  </si>
  <si>
    <t>transcription could be affected</t>
  </si>
  <si>
    <t>https://10.1021/acssynbio.1c00618</t>
  </si>
  <si>
    <t>Proteomic analysis of E. coli MG1655 after removal of oriC</t>
  </si>
  <si>
    <t>Protein interaction network analysis reveals growth conditions-specific crosstalk between chromosomal DNA replication and other cellular processes in E. coli</t>
  </si>
  <si>
    <t>https://doi.org/10.1126/sciadv.abl8675</t>
  </si>
  <si>
    <t>Identification of di-Boron cleavage events at Dha residues on recombinant protein in e.coli lysate</t>
  </si>
  <si>
    <t>dehydroalanine (Dha) residues</t>
  </si>
  <si>
    <t>Bacterial necromass is rapidly metabolized by heterotrophic bacteria and supports multiple trophic levels of the groundwater microbiome</t>
  </si>
  <si>
    <t>https://10.1038/S41477-022-01134-W</t>
  </si>
  <si>
    <t>A conserved module regulates receptor kinase signaling in immunity and development</t>
  </si>
  <si>
    <t>probably not proteome</t>
  </si>
  <si>
    <t>https://10.1038/s41467-022-29387-1</t>
  </si>
  <si>
    <t>Indentification of RecBCD Auxiliary ATP binding</t>
  </si>
  <si>
    <t>mCherry contains a fluorescent protein isoform that interferes with its reporter function</t>
  </si>
  <si>
    <t>overexpression, not proteome</t>
  </si>
  <si>
    <t>https://10.1186/s12934-022-01879-1</t>
  </si>
  <si>
    <t>Total proteome analysis of engineered/adapted E.coli strains with glucose/xylose co-utilization ability</t>
  </si>
  <si>
    <t>https://10.1038/S41589-022-01119-Y</t>
  </si>
  <si>
    <t>A genetic platform to investigate the functions of bacterial drug efflux pumps</t>
  </si>
  <si>
    <t>Generation of an Escherichia coli strain growing on methanol as sole energy and carbon source via the ribulose monophosphate cycle</t>
  </si>
  <si>
    <t>https://10.1038/S41467-022-31467-1</t>
  </si>
  <si>
    <t>Engineering consortia by polymeric microbial swarmbots</t>
  </si>
  <si>
    <t>swarmbots</t>
  </si>
  <si>
    <t>Quantitation Analysis using OpenMS of iPRG2015: Detection of Differentially Abundant Proteins in Label-Free Quantitative LC–MS/MS Experiments</t>
  </si>
  <si>
    <t>10.1021/acs.jproteome.6b00881</t>
  </si>
  <si>
    <t>benchmark; spiked-in proteins</t>
  </si>
  <si>
    <t>Global profiling of lysine benzoylation in S. cerevisiae</t>
  </si>
  <si>
    <t>10.1038/s41467-022-29057-2</t>
  </si>
  <si>
    <t>benzoate-treated yeast (induces Lysine benzoylation, check K substitutions)</t>
  </si>
  <si>
    <t>Minimalistic sample processing</t>
  </si>
  <si>
    <t>-</t>
  </si>
  <si>
    <t>An engineered promoter-reporter for insoluble protein in Saccharomyces cerevisiae</t>
  </si>
  <si>
    <t>10.1021/acssynbio.0c00476</t>
  </si>
  <si>
    <t>overexpression and deliberate induction of protein aggregation</t>
  </si>
  <si>
    <t>Structure of the AAA-ATPase Drg1 during extraction of Rlp24 from pre-60S particles</t>
  </si>
  <si>
    <t>10.1038/s41594-022-00832-5</t>
  </si>
  <si>
    <t>pre-60s complex cross-linking study, leptomycin-treated cells</t>
  </si>
  <si>
    <t>Analysis of the ubiquitinated peptides using the yeast Rpt2-normal, G2A and G2delta strains</t>
  </si>
  <si>
    <t>10.1016/j.jprot.2015.08.021</t>
  </si>
  <si>
    <t>purification of ubiq-peptides: check K-to-X subs</t>
  </si>
  <si>
    <t>INA complex liaises the F1Fo-ATP synthase membrane motor modules</t>
  </si>
  <si>
    <t>https://doi.org/10.1038/s41467-017-01437-z</t>
  </si>
  <si>
    <t>radioactive M and S: check M-to-X and S-to-X</t>
  </si>
  <si>
    <t>TMT and Label-Free Quantification of Yeast Mitochondrial and Cellular Proteome During Different Stages of Growth</t>
  </si>
  <si>
    <t>10.1073/pnas.1918216117</t>
  </si>
  <si>
    <t>TMT labels : check G-to-X and A-to-X</t>
  </si>
  <si>
    <t>The phosphoproteome response to dithiolthreitol in Saccharomyces cerevisiae</t>
  </si>
  <si>
    <t>10.1021/acs.jproteome.0c00253</t>
  </si>
  <si>
    <t>Affinity Purification Trigger with mTPP</t>
  </si>
  <si>
    <t>10.1021/acs.analchem.1c00012</t>
  </si>
  <si>
    <t>Budding yeast relies on qualitative G1 cyclin specificity to couple cell cycle progression with morphogenetic development</t>
  </si>
  <si>
    <t>10.1126/sciadv.abg0007</t>
  </si>
  <si>
    <t>A Siz1/Siz2-mediated SUMOylation programme inactivates the shugoshin-associated phosphatase-kinase network to stabilize sister kinetochore biorientation</t>
  </si>
  <si>
    <t>https://doi.org/10.1083/jcb.202005130</t>
  </si>
  <si>
    <t>uses point mutation mutants, but analysed separately (K-to-R mutants)</t>
  </si>
  <si>
    <t>Tube-gel digestion: a fast and reproducible sample preparation protocol for label-free quantitative proteomics of complex biological samples</t>
  </si>
  <si>
    <t>10.1002/pmic.201600288</t>
  </si>
  <si>
    <t>contains UPS protein standard, unlabelled</t>
  </si>
  <si>
    <t>Label-Free Quantification of Yeast Cellular Proteome</t>
  </si>
  <si>
    <t>10.1038/s41467-020-15749-0</t>
  </si>
  <si>
    <t>label-free quant of wt-yeast; contains UPS protein standard</t>
  </si>
  <si>
    <t>Proline: an efficient and user-friendly software suite for large-scale proteomics</t>
  </si>
  <si>
    <t>10.1093/bioinformatics/btaa118</t>
  </si>
  <si>
    <t>software benchmark, contains UPS protein standard</t>
  </si>
  <si>
    <t>Small Protein Enrichment-Based Proteogenomics Identifies Plentiful Missing Proteins and Three Novel sORFs in Saccharomyces cerevisiae</t>
  </si>
  <si>
    <t>https://doi.org/10.1021/acs.jproteome.8b00032</t>
  </si>
  <si>
    <t>small protein enrichment, three novel proteins</t>
  </si>
  <si>
    <t>Aging Yeast - Protein biogenesis machinery is a driver of replicative aging in yeast</t>
  </si>
  <si>
    <t>10.7554/eLife.08527</t>
  </si>
  <si>
    <t>enriched for aged cells</t>
  </si>
  <si>
    <t>A regulatory cascade reprograms the ubiquitin ligase Ubr1 to enhance protein quality control during stress</t>
  </si>
  <si>
    <t>10.1016/j.molcel.2018.04.027</t>
  </si>
  <si>
    <t>contains proteasome inhibition</t>
  </si>
  <si>
    <t>Detecting mistranslation from a serine tRNA with proline anticodon expressed in yeast</t>
  </si>
  <si>
    <t>10.1093/g3journal/jkac125</t>
  </si>
  <si>
    <t>studied misincorporations, used a modified S tRNA</t>
  </si>
  <si>
    <t>Improving identification of in-organello protein-protein interactions using an affinity-enrichable, isotopically-coded, and mass spectrometry-cleavable chemical crosslinker</t>
  </si>
  <si>
    <t>https://doi.org/10.1074/mcp.RA119.001839</t>
  </si>
  <si>
    <t>no</t>
  </si>
  <si>
    <r>
      <t>isotopically labelled</t>
    </r>
    <r>
      <rPr>
        <i/>
        <sz val="12"/>
        <color theme="1"/>
        <rFont val="Calibri"/>
        <family val="2"/>
        <scheme val="minor"/>
      </rPr>
      <t xml:space="preserve"> cross-linker </t>
    </r>
    <r>
      <rPr>
        <sz val="12"/>
        <color theme="1"/>
        <rFont val="Calibri"/>
        <family val="2"/>
        <scheme val="minor"/>
      </rPr>
      <t>(far too heavy for substitution)</t>
    </r>
  </si>
  <si>
    <t>Duplicated ribosomal protein paralogs promote alternative translation and drug resistance</t>
  </si>
  <si>
    <t>https://doi.org/10.1038/s41467-022-32717-y</t>
  </si>
  <si>
    <t>Staurosporine treatment, looked at changing expression of ribosome protein paralogs</t>
  </si>
  <si>
    <t>The heat shock response relies on orthogonal mechanisms to maintain protein homeostasis in yeast</t>
  </si>
  <si>
    <t>10.1016/j.celrep.2019.11.109</t>
  </si>
  <si>
    <t xml:space="preserve"> relative quant of heat shock response</t>
  </si>
  <si>
    <t>Identification of the Saccharomyces cerevisiae ZMP binders</t>
  </si>
  <si>
    <t>affinity chromatography of ZMP metabolite</t>
  </si>
  <si>
    <t>AIM32 is a dual-localized 2Fe-2S mitochondrial protein that functions in redox quality control</t>
  </si>
  <si>
    <t>10.1016/j.jbc.2021.101135</t>
  </si>
  <si>
    <t>Aim32 purification</t>
  </si>
  <si>
    <t>Isolation and mass spectrometry analysis of Atg9 vesicles from Saccharomyces cerevisiae</t>
  </si>
  <si>
    <t>10.1126/science.aaz7714</t>
  </si>
  <si>
    <t>Atg9 vesicle isolation</t>
  </si>
  <si>
    <t>INA complex liaises the F1Fo-ATP synthase membrane motor modules - Atp23 pulldown dataset</t>
  </si>
  <si>
    <t>10.1038/s41467-017-01437-z</t>
  </si>
  <si>
    <t>ATP23 pull-down</t>
  </si>
  <si>
    <t>Yeast Bdf1 interactome - Bdf1 Bromodomains are Essential for Meiosis and the Expression of Meiotic-Specific Genes</t>
  </si>
  <si>
    <t>10.1371/journal.pgen.1006541</t>
  </si>
  <si>
    <t>Bdf1 pull-down</t>
  </si>
  <si>
    <t>A proteome-integrated, carbon source dependent genetic regulatory network in Saccharomyces cerevisiae</t>
  </si>
  <si>
    <t xml:space="preserve">10.1039/C9MO00136K </t>
  </si>
  <si>
    <t>carbon source comparison, standard strain, good prep</t>
  </si>
  <si>
    <t>CDK and MAPK collaborate to regulate signaling dynamics via multi-site phosphorylation of the scaffold protein Ste5</t>
  </si>
  <si>
    <t>10.1016/j.molcel.2018.02.018</t>
  </si>
  <si>
    <t>CDC15 mutant</t>
  </si>
  <si>
    <t>Chromatin-associated proteome S. cerevisiae</t>
  </si>
  <si>
    <t>10.1016/J.GENREP.2019.100450</t>
  </si>
  <si>
    <t>chromatin enrichment, questionable sample prep</t>
  </si>
  <si>
    <t>Saccharomyces cerevisiae &amp; stress</t>
  </si>
  <si>
    <t>10.3389/fmicb.2022.881535</t>
  </si>
  <si>
    <t>compares a mutant with wt yeast</t>
  </si>
  <si>
    <t>Label-free shotgun proteomics of S. cerevisiae producing starch-like glucans</t>
  </si>
  <si>
    <t>https://doi.org/10.1186/s12915-022-01408-x</t>
  </si>
  <si>
    <t>compares glucan-producing strains</t>
  </si>
  <si>
    <t>A selective autophagy pathway for endocytic protein condensates</t>
  </si>
  <si>
    <t>10.1016/j.molcel.2020.10.030</t>
  </si>
  <si>
    <t>compares knockout strains, E. coli used, but not for MS</t>
  </si>
  <si>
    <t>The Whi2p-Psr1p/Psr2p complex regulates interference competition and expansion of cells with competitive advantage in multicellular yeast colonies - Proteomics of P1, P1-whi2 and P1-psr1psr2 colonies.</t>
  </si>
  <si>
    <t>https://doi.org/10.1073/pnas.1922076117</t>
  </si>
  <si>
    <t>comparing papillae across strains (gene deletions)</t>
  </si>
  <si>
    <t>Mitochondrial retrograde signaling contributes to metabolic differentiation in yeast colonies - Proteomics of BY4742, BY-rtg1, BY-mks1, BY-rtg1mks1 and BY-rtg2mks1.</t>
  </si>
  <si>
    <t>https://doi.org/10.3390/ijms22115597</t>
  </si>
  <si>
    <t>comparing some mitochondrial retrograde pathway mutants</t>
  </si>
  <si>
    <t>Cryo-EM structures of holo condensin reveal a subunit flip-flop mechanism</t>
  </si>
  <si>
    <t>10.1038/s41594-020-0457-x</t>
  </si>
  <si>
    <t>condensin cross-linking (BS3); yeast expression</t>
  </si>
  <si>
    <t>condensin cross-linking (sulfo-SDA); yeast expression</t>
  </si>
  <si>
    <t>Mass spectrometric analysis of membrane protein topology</t>
  </si>
  <si>
    <t>10.1371/journal.pone.0186840</t>
  </si>
  <si>
    <t>cross-linking study; yeast expression</t>
  </si>
  <si>
    <t>Yeast - phosphoproteome - Yeast PP4 Interacts with ATR Homolog Ddc2-Mec1 and Regulates Checkpoint Signaling</t>
  </si>
  <si>
    <t>https://doi.org/10.1016/j.molcel.2014.11.016</t>
  </si>
  <si>
    <t>enriched for phospopeptides</t>
  </si>
  <si>
    <t>Network rewiring of homologous recombination during mitotic proliferation and meiosis</t>
  </si>
  <si>
    <t>10.1016/j.molcel.2019.06.022</t>
  </si>
  <si>
    <t>homologous recombination pull-down</t>
  </si>
  <si>
    <t>INA complex liaises the F1Fo-ATP synthase membrane motor modules - Ina22-Flag pulldown experiments</t>
  </si>
  <si>
    <t>Ina22 pull-down</t>
  </si>
  <si>
    <t>Effect of acadesine and overexpression of the karyopherin Kap123 on nuclear abundance of yeast proteins</t>
  </si>
  <si>
    <t>Kap123 overexpression, nuclear import drugging</t>
  </si>
  <si>
    <t>Identification of Kel1 partners during the mating response in yeast</t>
  </si>
  <si>
    <t>https://doi.org/10.1016/j.celrep.2021.110186</t>
  </si>
  <si>
    <t>Kel1 (mating protein) IP</t>
  </si>
  <si>
    <t>Training set - Novel insights into quantitative proteomics from an innovative bottom-up Simple Light Isotope Metabolic (bSLIM) labeling data processing strategy</t>
  </si>
  <si>
    <t>10.1021/acs.jproteome.0c00478</t>
  </si>
  <si>
    <t>light isotope, no mass shifts, but messed-up isotope distribution, might hinder IDs</t>
  </si>
  <si>
    <t>Novel insights into quantitative proteomics from an innovative bottom-up Simple Light Isotope Metabolic (bSLIM) labeling data processing strategy</t>
  </si>
  <si>
    <t>Subcellular localization of the J-protein Sis1 regulates the heat shock response</t>
  </si>
  <si>
    <t>10.1083/jcb.202005165</t>
  </si>
  <si>
    <t>looks at heat shock response, only tagging strains</t>
  </si>
  <si>
    <t>The proteomic landscape of centromeric chromatin reveals an essential role for the Ctf19 complex in meiotic kinetochore assembly.</t>
  </si>
  <si>
    <t>10.1016/j.cub.2020.10.025</t>
  </si>
  <si>
    <t>meiotic cells, cell cycle arrest, chromatin IP</t>
  </si>
  <si>
    <t>Saccharomyces cerevisiae mitochondrial fractions by LC-MS/MS</t>
  </si>
  <si>
    <t>10.7554/elife.35330</t>
  </si>
  <si>
    <t>mitochondrial enrichment</t>
  </si>
  <si>
    <t>AP-3 vesicles retain their coat and depend on the HOPS subunit Vps41 for tethering to vacuoles</t>
  </si>
  <si>
    <t>10.15252/embj.2020105117</t>
  </si>
  <si>
    <t>mitochondrial protein enrichment</t>
  </si>
  <si>
    <t>Chromatin modifiers and recombination factors promote a telomere fold-back structure, that is lost during replicative senescence</t>
  </si>
  <si>
    <t>https://doi.org/10.1371/journal.pgen.1008603</t>
  </si>
  <si>
    <t>MS data is whole-cell lysate</t>
  </si>
  <si>
    <t>Chemical damage to mRNA triggers ribosome-based quality control in the cell</t>
  </si>
  <si>
    <t>10.1038/s41467-019-13579-3</t>
  </si>
  <si>
    <t>only deletion mutants</t>
  </si>
  <si>
    <t>The dissociation of RQT complex on ribosome</t>
  </si>
  <si>
    <t>10.1038/s41594-020-0393-9</t>
  </si>
  <si>
    <t>only deletion mutants; partly ribosome purification</t>
  </si>
  <si>
    <t>Quantitative global proteomics of yeast PBP1 deletion mutants and their stress responses reveals glucose metabolism, translation and stress granule changes</t>
  </si>
  <si>
    <t>10.1021/acs.jproteome.6b00647</t>
  </si>
  <si>
    <t>PBP1 knockout</t>
  </si>
  <si>
    <t>Peroxiredoxin promotes longevity and H2O2-resistance in yeast through redox-modulation of protein kinase A</t>
  </si>
  <si>
    <t>10.7554/ELIFE.60346</t>
  </si>
  <si>
    <t>Peroxiredoxin affinity purification</t>
  </si>
  <si>
    <t>Phosphoproteomics of DNA repair in Saccharomyces cerevisisae</t>
  </si>
  <si>
    <t>10.1093/nar/gkz794</t>
  </si>
  <si>
    <t>phospho-peptide enrichment</t>
  </si>
  <si>
    <t>Function of the MYND domain and C-terminal region in regulating the subcellular localization and catalytic activity of the SMYD family lysine methyltransferase Set5</t>
  </si>
  <si>
    <t>10.1128/mcb.00341-19</t>
  </si>
  <si>
    <t>Selective autophagy degrades nuclear pore complexes</t>
  </si>
  <si>
    <t>https://doi.org/10.1038/s41556-019-0459-2</t>
  </si>
  <si>
    <t>pore complex pull-down / Atg8 interactome and XL</t>
  </si>
  <si>
    <t>Structural inventory of native ribosomal ABCE1-43S pre-initiation complex</t>
  </si>
  <si>
    <t>https://doi.org/10.15252/embj.2020105179</t>
  </si>
  <si>
    <t>pre-initiation complex purification</t>
  </si>
  <si>
    <t>The proteasome biogenesis regulator Rpn4 cooperates with the unfolded protein response to promote ER stress resistance</t>
  </si>
  <si>
    <t>10.7554/eLife.43244</t>
  </si>
  <si>
    <t>proteome change by ER stress</t>
  </si>
  <si>
    <t>Identification of a new XPF-ERCC1-like complex important for meiotic crossovers production</t>
  </si>
  <si>
    <t>10.1101/gad.308510.117</t>
  </si>
  <si>
    <t>proteomic screen, discovery study</t>
  </si>
  <si>
    <t>Interactome of WT and mutant PUB1 in Saccharomyces cerevisiae</t>
  </si>
  <si>
    <t>10.1093/nar/gkaa681</t>
  </si>
  <si>
    <t>pub1 pull-downs, wt and mutant, but analyzed separately</t>
  </si>
  <si>
    <t>RNA polymerase III interactome</t>
  </si>
  <si>
    <t>10.1016/j.gene.2018.12.037</t>
  </si>
  <si>
    <t>pull-down of transcription complex</t>
  </si>
  <si>
    <t>Integrated multi-omics reveals common properties underlying stress granule and P-body formation</t>
  </si>
  <si>
    <t>10.1080/15476286.2021.1976986</t>
  </si>
  <si>
    <t>purification of stress granules and p-bodies</t>
  </si>
  <si>
    <t>Abundances of transcripts, proteins metabolites and lipids in the cell cycle of budding yeast.</t>
  </si>
  <si>
    <t>https://doi.org/10.1091/mbc.E19-12-0708</t>
  </si>
  <si>
    <t>relative quant across cell cycle</t>
  </si>
  <si>
    <t>Measuring glycolytic flux in single yeast cells with an orthogonal synthetic biosensor</t>
  </si>
  <si>
    <t>10.15252/msb.20199071</t>
  </si>
  <si>
    <t>relative quant of glycolytic flux proteins</t>
  </si>
  <si>
    <t>Role of Ssd1 in modulating protein abundance in aneuploid wild yeast</t>
  </si>
  <si>
    <t>10.7554/elife.52063</t>
  </si>
  <si>
    <t>relative quant; only deletion / tagging mutants</t>
  </si>
  <si>
    <t>Rapid and quantitative precipitation of a yeast proteome</t>
  </si>
  <si>
    <t>10.1021/acs.jproteome.9b00867</t>
  </si>
  <si>
    <t>sample prep study</t>
  </si>
  <si>
    <t>Purified Smc5/6 complex exhibits DNA substrate recognition and compaction</t>
  </si>
  <si>
    <t>10.1016/j.molcel.2020.11.012</t>
  </si>
  <si>
    <t>Smc5/6 cross-linking study; yeast expression</t>
  </si>
  <si>
    <t>FeatureFinderIdentification (OpenMS) analysis of the iPRG-2015 dataset</t>
  </si>
  <si>
    <t>10.1021/acs.jproteome.7b00248</t>
  </si>
  <si>
    <t>software benchmark</t>
  </si>
  <si>
    <t>Open-pFind enables precise, comprehensive and rapid peptide identification in shotgun proteomics, part 2</t>
  </si>
  <si>
    <t>https://doi.org/10.1038/nbt.4236</t>
  </si>
  <si>
    <t>A global map of protein–metabolite interactions in budding yeast reveals a novel role of a proteogenic dipeptide Ser-Leu in the regulation of a key glycolytic enzyme Pgk1.</t>
  </si>
  <si>
    <t>https://doi.org/10.1038/s42003-021-01684-3</t>
  </si>
  <si>
    <t>some overexpression of Pnp1 and Pgk1</t>
  </si>
  <si>
    <t>Characterization of Spp1-TAP and Mer2-TAP interactomes</t>
  </si>
  <si>
    <t>10.1371/journal.pgen.1007223</t>
  </si>
  <si>
    <t>Spp1-TAP or Mer2-TAP pull-down</t>
  </si>
  <si>
    <t>Multicenter experiment for quality control of peptide-centric LC–MS/MS analysis — A longitudinal performance assessment with nLC coupled to orbitrap MS analyzers</t>
  </si>
  <si>
    <t>10.1016/j.jprot.2015.05.012</t>
  </si>
  <si>
    <t>standard strain and prep</t>
  </si>
  <si>
    <t>Ndd1 phosphorylation pattern upon DNA damage</t>
  </si>
  <si>
    <t>10.1128/MCB.01090-13</t>
  </si>
  <si>
    <t>strain with &gt;8,000 variations, standard sample prep</t>
  </si>
  <si>
    <t>Saccharomyces cerevisiae mRBPome in oxidative stress conditions</t>
  </si>
  <si>
    <t>10.1016/j.isci.2021.102753</t>
  </si>
  <si>
    <t>stress condition study</t>
  </si>
  <si>
    <t>Proteomics analysis of the effect of Slf1 deletion on yeast response to oxidative stress via LC-MSMS</t>
  </si>
  <si>
    <t>https://doi.org/10.1371/journal.pgen.1004903</t>
  </si>
  <si>
    <t>study of translation control by RBPs, minimal mutant, standard prep</t>
  </si>
  <si>
    <t>Desumoylation of the RNA polymerase III lies at the core of the Sumo-Stress Response</t>
  </si>
  <si>
    <t>10.1074/jbc.ra119.009721</t>
  </si>
  <si>
    <t>SUMO pulldown</t>
  </si>
  <si>
    <t>SUMOylation regulates the metaphase-anaphase transition by stabilizing sister kinetochore biorientation</t>
  </si>
  <si>
    <t>10.1083/jcb.202005130</t>
  </si>
  <si>
    <t>SUMO pulldown; many mutant strains, but seemingly knockdowns</t>
  </si>
  <si>
    <t>Analytical guidelines for co-fractionation mass spectrometry obtained through global profiling of gold standard Saccharomyces cerevisiae protein complexes</t>
  </si>
  <si>
    <t>10.1074/mcp.ra120.002154</t>
  </si>
  <si>
    <t>technical study on co-fractionation (purification of complexes)</t>
  </si>
  <si>
    <t>Npl3 stabilizes R-loops at telomeres to prevent accelerated replicative senescence</t>
  </si>
  <si>
    <t>https://doi.org/10.15252/embr.201949087</t>
  </si>
  <si>
    <t>telomere pull-down</t>
  </si>
  <si>
    <t>Substrate Specificity of the TRAMP Nuclear Surveillance Complexes</t>
  </si>
  <si>
    <t>10.1038/s41467-020-16965-4</t>
  </si>
  <si>
    <t>TRAMP complex pull-down</t>
  </si>
  <si>
    <t>Biophysical basis of cellular multi-specificity encoded in a model molecular switch</t>
  </si>
  <si>
    <t>https://doi.org/10.1038/s41586-021-03982-6</t>
  </si>
  <si>
    <t>uses point mutations, but grown and analysed separately</t>
  </si>
  <si>
    <t>Proteomics needs better chromatography</t>
  </si>
  <si>
    <t>10.1016/j.cels.2016.10.007</t>
  </si>
  <si>
    <t>wt yeast, chromatography study</t>
  </si>
  <si>
    <t>RNA-controlled nucleocytoplasmic shuttling of mRNA decay factors regulates mRNA synthesis and a novel mRNA decay pathway</t>
  </si>
  <si>
    <t>https://doi.org/10.1038/s41467-022-34417-z</t>
  </si>
  <si>
    <t>Xrn1 purification, introduced/removed nuclear localization signals</t>
  </si>
  <si>
    <t>Cryo-EM structures of Gid12-bound GID E3 reveal steric blockade as a mechanism inhibiting substrate ubiquitylation</t>
  </si>
  <si>
    <t>https://doi.org/10.1038/s41467-022-30803-9</t>
  </si>
  <si>
    <t>Gid4/Gid8/Gid12 IP as well as whole proteome</t>
  </si>
  <si>
    <t>SCX, 18O-labeling and charge reversal for C-terminomics</t>
  </si>
  <si>
    <t>10.1021/acs.jproteome.9b00264</t>
  </si>
  <si>
    <t>yes</t>
  </si>
  <si>
    <t>18O labelling (+2, +4)</t>
  </si>
  <si>
    <t>S. cerevisiae natural isolate proteomics</t>
  </si>
  <si>
    <t>10.1093/femsyr/foy116</t>
  </si>
  <si>
    <t>54 natural isolates: probably mixture of genetic backgrounds</t>
  </si>
  <si>
    <t>Identifying protein kinase specific effectors of the osmostress response in yeast_part4</t>
  </si>
  <si>
    <t>10.1126/scisignal.aag2435</t>
  </si>
  <si>
    <t>contains SILAC</t>
  </si>
  <si>
    <t>Identification of phosphosites that alter protein thermal stability</t>
  </si>
  <si>
    <t>https://doi.org/10.1038/s41592-021-01178-4</t>
  </si>
  <si>
    <t>Endosulfines Igo1 and Igo2 promote hyperosmotic stress signaling via inhibition of protein phosphatase 2A</t>
  </si>
  <si>
    <t>10.15252/embr.202152476</t>
  </si>
  <si>
    <t>PP2A-Rts1 antagonizes Rck2-mediated hyperosmotic stress signaling in yeast</t>
  </si>
  <si>
    <t>https://doi.org/10.1016/j.micres.2022.127031</t>
  </si>
  <si>
    <t>The metabolite-controlled ubiquitin conjugase Ubc8 promotes mitochondrial protein import by enhancing assembly of the TOM complex - Data Set 2</t>
  </si>
  <si>
    <t>10.26508/LSA.202201526</t>
  </si>
  <si>
    <t>MitoStores: Chaperone-controlled protein granules store mitochondrial precursors in the cytosol - Data Set 2: Hsp104 AP-MS</t>
  </si>
  <si>
    <t>Direct and Absolute Quantification of over 1800 Yeast Proteins via Selected Reaction Monitoring HUB_MAN C4PR_LIV</t>
  </si>
  <si>
    <t xml:space="preserve">10.1074/mcp.M115.054288 </t>
  </si>
  <si>
    <t>contains SILAC standards</t>
  </si>
  <si>
    <t>Design and experimental evaluation of a minimal, innocuous watermarking strategy to distinguish near-identical DNA and RNA sequences</t>
  </si>
  <si>
    <t>https://doi.org/10.1021/acssynbio.0c00045</t>
  </si>
  <si>
    <t>DNA watermarks (changes to CDS)</t>
  </si>
  <si>
    <t>The metabolite-controlled ubiquitin conjugase Ubc8 promotes mitochondrial protein import by enhancing assembly of the TOM complex - DATA SET II</t>
  </si>
  <si>
    <t>might contain SILAC</t>
  </si>
  <si>
    <t>Characterisation of protein methyltransferases Rkm1, Rkm4, Efm4, Efm7, Set5 and Hmt1 reveals extensive post-translational modification</t>
  </si>
  <si>
    <t>10.1016/j.jmb.2017.11.009</t>
  </si>
  <si>
    <t>overexpression of methyltransferases, PTM study</t>
  </si>
  <si>
    <t>Structure of TFIIH/Rad4-Rad23-Rad33 in damaged DNA opening in Nucleotide Excision Repair</t>
  </si>
  <si>
    <t>10.1038/s41467-021-23684-x</t>
  </si>
  <si>
    <t>partly protein production in E. coli</t>
  </si>
  <si>
    <t>TORC1 shapes the SUMO proteome to control RNA Polymerase III activity</t>
  </si>
  <si>
    <t>10.1073/pnas.1615093114</t>
  </si>
  <si>
    <t>partly SILAC</t>
  </si>
  <si>
    <t>The RNA helicase Dbp7 promotes domain V/VI compaction and stabilization of inter-domain interactions during early 60S assembly</t>
  </si>
  <si>
    <t>https://doi.org/10.1038/s41467-021-26208-9</t>
  </si>
  <si>
    <t>proteins expressed in E. coli; Dbp7 pull-down</t>
  </si>
  <si>
    <t>10.1038/s41594-019-0196-z</t>
  </si>
  <si>
    <t>recombinant proteins grown in E. coli and insect cells; multi-species</t>
  </si>
  <si>
    <t>Cross-linking mass spectrometry of the CCAN and CCAN-Cenp-A complexes</t>
  </si>
  <si>
    <t>10.1038/s41586-019-1609-1</t>
  </si>
  <si>
    <t>uses multiple mutants of target genes</t>
  </si>
  <si>
    <t>Phosphoproteomics across the yeast life cycle</t>
  </si>
  <si>
    <t>https://doi.org/10.1016/j.celrep.2020.108024</t>
  </si>
  <si>
    <t>uses mutants with single mutations</t>
  </si>
  <si>
    <t>Taf2 mediates DNA binding of Taf14</t>
  </si>
  <si>
    <t>10.1038/s41467-022-30937-w</t>
  </si>
  <si>
    <t>yeast proteins expressed in E. coli</t>
  </si>
  <si>
    <t>Towards the molecular architecture of the peroxisomal receptor docking complex</t>
  </si>
  <si>
    <t>https://doi.org/10.1073/pnas.2009502117</t>
  </si>
  <si>
    <t>yeast proteins expressed in E. coli, multi-species sample</t>
  </si>
  <si>
    <t>Crosslinking-MS dataset of the TFIIIC subcomplex tauA with Brf1 and TBP</t>
  </si>
  <si>
    <t>10.1038/s41467-020-18707-y</t>
  </si>
  <si>
    <t>yeast proteins expressed in insect cells</t>
  </si>
  <si>
    <t>An Mtw1 C-terminal motif is crucial for cooperative outer kinetochore assembly in budding yeast</t>
  </si>
  <si>
    <t>https://doi.org/10.1016/j.celrep.2020.108190</t>
  </si>
  <si>
    <t>kinetochore cross-linking, heavy-labelled crosslinker; partly E. coli expression</t>
  </si>
  <si>
    <t>Cross-linking/mass spectrometry analysis of the AOC complex</t>
  </si>
  <si>
    <t>10.15252/embj.201898991</t>
  </si>
  <si>
    <t>centromer cross-linking study; E. coli expression</t>
  </si>
  <si>
    <t>Pre-40S ribosome biogenesis factor Tsr1 is an inactive structural mimic of translational GTPases</t>
  </si>
  <si>
    <t>10.1038/ncomms11789</t>
  </si>
  <si>
    <t>cross-linking study; E. coli expression</t>
  </si>
  <si>
    <t>Architecture of the yeast Elongator complex</t>
  </si>
  <si>
    <t xml:space="preserve">10.15252/embr.201643353 </t>
  </si>
  <si>
    <t>cross-linking study; proteins expressed in E. coli</t>
  </si>
  <si>
    <t>Crosslinking mass spectrometry of yeast Pol I pre-initiation complex</t>
  </si>
  <si>
    <t>10.15252/embj.201796958</t>
  </si>
  <si>
    <t>Pol I cross-linking; partly E. coli expression</t>
  </si>
  <si>
    <t>CX-MS of TFIIH and Def1 complex</t>
  </si>
  <si>
    <t>10.1073/pnas.1707955114</t>
  </si>
  <si>
    <t>TFIIH / Def1 enrichment and cross-linking; partly E. coli expression</t>
  </si>
  <si>
    <t>mixed-species dataset only used SAX and SCX yeast conditions</t>
  </si>
  <si>
    <t>min</t>
  </si>
  <si>
    <t>max</t>
  </si>
  <si>
    <t>sum</t>
  </si>
  <si>
    <t>number of misincorporations</t>
  </si>
  <si>
    <t>number of peptides</t>
  </si>
  <si>
    <t>Dataset (PRIDE ID)</t>
  </si>
  <si>
    <t>used in Mordret et. al.</t>
  </si>
  <si>
    <t>Datasets downloaded from PRIDE (S. cerevisiae)</t>
  </si>
  <si>
    <t>filtered out manually</t>
  </si>
  <si>
    <t>filtered out automatically</t>
  </si>
  <si>
    <t>Project title</t>
  </si>
  <si>
    <t>Manual curation of datasets (S. cerevisiae)</t>
  </si>
  <si>
    <t>Final curated dataset (S. cerevisiae)</t>
  </si>
  <si>
    <t>Datasets downloaded from PRIDE (E. coli)</t>
  </si>
  <si>
    <t>Manual curation of datasets (E.coli)</t>
  </si>
  <si>
    <t>Final curated dataset (E. coli)</t>
  </si>
  <si>
    <t>https://doi.org/10.1038/s41467-021-21942-6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</si>
</sst>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east_summary_1" connectionId="6" xr16:uid="{17173BCF-ACAE-5745-9909-FA939D0FC26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tered_summary" connectionId="2" xr16:uid="{8BFD4780-B2A2-5F47-A948-A5C644590C5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tered_summary_1" connectionId="5" xr16:uid="{F60E1873-38F3-F347-9E28-8ECBBB1A7AFA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coli_summary_1" connectionId="1" xr16:uid="{4D035A6D-5D7A-F648-840E-AA19AEE63374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tered_summary" connectionId="3" xr16:uid="{B1B542B6-8DDC-7949-80E5-98AB0AEFDA0C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tered_summary_1" connectionId="4" xr16:uid="{95D5DCE6-334A-0646-9B52-1261FE66705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celrep.2020.108024" TargetMode="External"/><Relationship Id="rId13" Type="http://schemas.openxmlformats.org/officeDocument/2006/relationships/hyperlink" Target="https://doi.org/10.1083/jcb.202005130" TargetMode="External"/><Relationship Id="rId18" Type="http://schemas.openxmlformats.org/officeDocument/2006/relationships/hyperlink" Target="https://doi.org/10.3390/ijms22115597" TargetMode="External"/><Relationship Id="rId3" Type="http://schemas.openxmlformats.org/officeDocument/2006/relationships/hyperlink" Target="https://doi.org/10.1016/j.molcel.2014.11.016" TargetMode="External"/><Relationship Id="rId21" Type="http://schemas.openxmlformats.org/officeDocument/2006/relationships/hyperlink" Target="https://doi.org/10.1074/mcp.m115.054288" TargetMode="External"/><Relationship Id="rId7" Type="http://schemas.openxmlformats.org/officeDocument/2006/relationships/hyperlink" Target="https://doi.org/10.1091/mbc.E19-12-0708" TargetMode="External"/><Relationship Id="rId12" Type="http://schemas.openxmlformats.org/officeDocument/2006/relationships/hyperlink" Target="https://doi.org/10.1021/acssynbio.0c00045" TargetMode="External"/><Relationship Id="rId17" Type="http://schemas.openxmlformats.org/officeDocument/2006/relationships/hyperlink" Target="https://doi.org/10.1371/journal.pgen.1008603" TargetMode="External"/><Relationship Id="rId2" Type="http://schemas.openxmlformats.org/officeDocument/2006/relationships/hyperlink" Target="https://doi.org/10.1371/journal.pgen.1004903" TargetMode="External"/><Relationship Id="rId16" Type="http://schemas.openxmlformats.org/officeDocument/2006/relationships/hyperlink" Target="https://doi.org/10.15252/embj.2020105179" TargetMode="External"/><Relationship Id="rId20" Type="http://schemas.openxmlformats.org/officeDocument/2006/relationships/hyperlink" Target="https://doi.org/10.1021/acs.jproteome.8b00032" TargetMode="External"/><Relationship Id="rId1" Type="http://schemas.openxmlformats.org/officeDocument/2006/relationships/hyperlink" Target="https://www.sciencedirect.com/science/article/pii/S1874391915300105?via%3Dihub" TargetMode="External"/><Relationship Id="rId6" Type="http://schemas.openxmlformats.org/officeDocument/2006/relationships/hyperlink" Target="https://doi.org/10.1016/j.celrep.2020.108190" TargetMode="External"/><Relationship Id="rId11" Type="http://schemas.openxmlformats.org/officeDocument/2006/relationships/hyperlink" Target="https://doi.org/10.15252/embr.201949087" TargetMode="External"/><Relationship Id="rId24" Type="http://schemas.openxmlformats.org/officeDocument/2006/relationships/queryTable" Target="../queryTables/queryTable3.xml"/><Relationship Id="rId5" Type="http://schemas.openxmlformats.org/officeDocument/2006/relationships/hyperlink" Target="https://doi.org/10.3389%2Ffmicb.2022.881535" TargetMode="External"/><Relationship Id="rId15" Type="http://schemas.openxmlformats.org/officeDocument/2006/relationships/hyperlink" Target="https://doi.org/10.1016/j.celrep.2021.110186" TargetMode="External"/><Relationship Id="rId23" Type="http://schemas.openxmlformats.org/officeDocument/2006/relationships/queryTable" Target="../queryTables/queryTable2.xml"/><Relationship Id="rId10" Type="http://schemas.openxmlformats.org/officeDocument/2006/relationships/hyperlink" Target="https://doi.org/10.1073/pnas.1922076117" TargetMode="External"/><Relationship Id="rId19" Type="http://schemas.openxmlformats.org/officeDocument/2006/relationships/hyperlink" Target="https://doi.org/10.15252/embr.201643353" TargetMode="External"/><Relationship Id="rId4" Type="http://schemas.openxmlformats.org/officeDocument/2006/relationships/hyperlink" Target="https://doi.org/10.1039/C9MO00136K" TargetMode="External"/><Relationship Id="rId9" Type="http://schemas.openxmlformats.org/officeDocument/2006/relationships/hyperlink" Target="https://doi.org/10.1073/pnas.2009502117" TargetMode="External"/><Relationship Id="rId14" Type="http://schemas.openxmlformats.org/officeDocument/2006/relationships/hyperlink" Target="https://doi.org/10.1016/j.micres.2022.127031" TargetMode="External"/><Relationship Id="rId22" Type="http://schemas.openxmlformats.org/officeDocument/2006/relationships/hyperlink" Target="https://doi.org/10.1074/mcp.RA119.00183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10.1021/acs.jproteome.8b00505" TargetMode="External"/><Relationship Id="rId18" Type="http://schemas.openxmlformats.org/officeDocument/2006/relationships/hyperlink" Target="https://10.1111/febs.14951" TargetMode="External"/><Relationship Id="rId26" Type="http://schemas.openxmlformats.org/officeDocument/2006/relationships/hyperlink" Target="https://10.1038/s41467-020-16898-y," TargetMode="External"/><Relationship Id="rId39" Type="http://schemas.openxmlformats.org/officeDocument/2006/relationships/hyperlink" Target="https://10.3390/BIOM11060843" TargetMode="External"/><Relationship Id="rId21" Type="http://schemas.openxmlformats.org/officeDocument/2006/relationships/hyperlink" Target="https://10.1021/acsinfecdis.0c00196" TargetMode="External"/><Relationship Id="rId34" Type="http://schemas.openxmlformats.org/officeDocument/2006/relationships/hyperlink" Target="https://10.1038/s41598-021-91905-w" TargetMode="External"/><Relationship Id="rId42" Type="http://schemas.openxmlformats.org/officeDocument/2006/relationships/hyperlink" Target="https://10.1093/nar/gkab1224" TargetMode="External"/><Relationship Id="rId47" Type="http://schemas.openxmlformats.org/officeDocument/2006/relationships/hyperlink" Target="https://10.1038/s41467-022-29387-1" TargetMode="External"/><Relationship Id="rId50" Type="http://schemas.openxmlformats.org/officeDocument/2006/relationships/hyperlink" Target="https://10.1038/S41467-022-31467-1" TargetMode="External"/><Relationship Id="rId7" Type="http://schemas.openxmlformats.org/officeDocument/2006/relationships/hyperlink" Target="https://doi.org/10.1074/mcp.m116.060582" TargetMode="External"/><Relationship Id="rId2" Type="http://schemas.openxmlformats.org/officeDocument/2006/relationships/hyperlink" Target="https://doi.org/10.1002/pmic.201500025" TargetMode="External"/><Relationship Id="rId16" Type="http://schemas.openxmlformats.org/officeDocument/2006/relationships/hyperlink" Target="https://10.1186/s40168-020-00806-z" TargetMode="External"/><Relationship Id="rId29" Type="http://schemas.openxmlformats.org/officeDocument/2006/relationships/hyperlink" Target="https://10.1002/pro.3924" TargetMode="External"/><Relationship Id="rId11" Type="http://schemas.openxmlformats.org/officeDocument/2006/relationships/hyperlink" Target="https://doi.org/10.1128/AEM.00270-18" TargetMode="External"/><Relationship Id="rId24" Type="http://schemas.openxmlformats.org/officeDocument/2006/relationships/hyperlink" Target="https://10.1021/acs.jproteome.9b00713" TargetMode="External"/><Relationship Id="rId32" Type="http://schemas.openxmlformats.org/officeDocument/2006/relationships/hyperlink" Target="https://10.3389/fmicb.2021.628801" TargetMode="External"/><Relationship Id="rId37" Type="http://schemas.openxmlformats.org/officeDocument/2006/relationships/hyperlink" Target="https://&#160;10.1038/s41396-021-01163-x" TargetMode="External"/><Relationship Id="rId40" Type="http://schemas.openxmlformats.org/officeDocument/2006/relationships/hyperlink" Target="https://10.3390/microorganisms9071368," TargetMode="External"/><Relationship Id="rId45" Type="http://schemas.openxmlformats.org/officeDocument/2006/relationships/hyperlink" Target="https://10.1021/acssynbio.1c00618" TargetMode="External"/><Relationship Id="rId5" Type="http://schemas.openxmlformats.org/officeDocument/2006/relationships/hyperlink" Target="https://doi.org/10.1002/pmic.201500027" TargetMode="External"/><Relationship Id="rId15" Type="http://schemas.openxmlformats.org/officeDocument/2006/relationships/hyperlink" Target="https://10.1038/s41594-019-0196-z" TargetMode="External"/><Relationship Id="rId23" Type="http://schemas.openxmlformats.org/officeDocument/2006/relationships/hyperlink" Target="https://10.15252/embj.2019102246" TargetMode="External"/><Relationship Id="rId28" Type="http://schemas.openxmlformats.org/officeDocument/2006/relationships/hyperlink" Target="https://10.1016/j.mex.2021.101277" TargetMode="External"/><Relationship Id="rId36" Type="http://schemas.openxmlformats.org/officeDocument/2006/relationships/hyperlink" Target="https://10.1002/cbic.202100257" TargetMode="External"/><Relationship Id="rId49" Type="http://schemas.openxmlformats.org/officeDocument/2006/relationships/hyperlink" Target="https://10.1038/S41589-022-01119-Y" TargetMode="External"/><Relationship Id="rId10" Type="http://schemas.openxmlformats.org/officeDocument/2006/relationships/hyperlink" Target="https://doi.org/10.1016/j.jprot.2018.03.028" TargetMode="External"/><Relationship Id="rId19" Type="http://schemas.openxmlformats.org/officeDocument/2006/relationships/hyperlink" Target="https://10.1016/j.jprot.2019.103544" TargetMode="External"/><Relationship Id="rId31" Type="http://schemas.openxmlformats.org/officeDocument/2006/relationships/hyperlink" Target="https://10.1002/pro.3924" TargetMode="External"/><Relationship Id="rId44" Type="http://schemas.openxmlformats.org/officeDocument/2006/relationships/hyperlink" Target="https://10.1038/s41586-021-04003-2" TargetMode="External"/><Relationship Id="rId52" Type="http://schemas.openxmlformats.org/officeDocument/2006/relationships/queryTable" Target="../queryTables/queryTable6.xml"/><Relationship Id="rId4" Type="http://schemas.openxmlformats.org/officeDocument/2006/relationships/hyperlink" Target="https://doi.org/10.1002/pmic.201500027" TargetMode="External"/><Relationship Id="rId9" Type="http://schemas.openxmlformats.org/officeDocument/2006/relationships/hyperlink" Target="https://10.1021/acs.jproteome.7b00593" TargetMode="External"/><Relationship Id="rId14" Type="http://schemas.openxmlformats.org/officeDocument/2006/relationships/hyperlink" Target="https://10.1186/s12934-019-1182-1" TargetMode="External"/><Relationship Id="rId22" Type="http://schemas.openxmlformats.org/officeDocument/2006/relationships/hyperlink" Target="https://10.1021/acs.analchem.0c00328" TargetMode="External"/><Relationship Id="rId27" Type="http://schemas.openxmlformats.org/officeDocument/2006/relationships/hyperlink" Target="https://10.1038/s41598-020-69313-3" TargetMode="External"/><Relationship Id="rId30" Type="http://schemas.openxmlformats.org/officeDocument/2006/relationships/hyperlink" Target="https://10.1016/j.molcel.2021.02.006" TargetMode="External"/><Relationship Id="rId35" Type="http://schemas.openxmlformats.org/officeDocument/2006/relationships/hyperlink" Target="https://10.1186/s12866-021-02176-4" TargetMode="External"/><Relationship Id="rId43" Type="http://schemas.openxmlformats.org/officeDocument/2006/relationships/hyperlink" Target="https://10.1371/journal.pone.0266921" TargetMode="External"/><Relationship Id="rId48" Type="http://schemas.openxmlformats.org/officeDocument/2006/relationships/hyperlink" Target="https://10.1186/s12934-022-01879-1" TargetMode="External"/><Relationship Id="rId8" Type="http://schemas.openxmlformats.org/officeDocument/2006/relationships/hyperlink" Target="https://10.1007/s00216-017-0326-6" TargetMode="External"/><Relationship Id="rId51" Type="http://schemas.openxmlformats.org/officeDocument/2006/relationships/queryTable" Target="../queryTables/queryTable5.xml"/><Relationship Id="rId3" Type="http://schemas.openxmlformats.org/officeDocument/2006/relationships/hyperlink" Target="https://doi.org/10.15252/msb.20166998" TargetMode="External"/><Relationship Id="rId12" Type="http://schemas.openxmlformats.org/officeDocument/2006/relationships/hyperlink" Target="https://10.1038/s41586-019-1665-6" TargetMode="External"/><Relationship Id="rId17" Type="http://schemas.openxmlformats.org/officeDocument/2006/relationships/hyperlink" Target="https://doi.org/10.1002/pmic.201900136" TargetMode="External"/><Relationship Id="rId25" Type="http://schemas.openxmlformats.org/officeDocument/2006/relationships/hyperlink" Target="https://10.1021/acs.jproteome.0c00105" TargetMode="External"/><Relationship Id="rId33" Type="http://schemas.openxmlformats.org/officeDocument/2006/relationships/hyperlink" Target="https://10.3389/fmolb.2021.643696" TargetMode="External"/><Relationship Id="rId38" Type="http://schemas.openxmlformats.org/officeDocument/2006/relationships/hyperlink" Target="https://10.1021/acschembio.1c00322" TargetMode="External"/><Relationship Id="rId46" Type="http://schemas.openxmlformats.org/officeDocument/2006/relationships/hyperlink" Target="https://10.1038/S41477-022-01134-W" TargetMode="External"/><Relationship Id="rId20" Type="http://schemas.openxmlformats.org/officeDocument/2006/relationships/hyperlink" Target="https://10.1021/acsinfecdis.0c00196" TargetMode="External"/><Relationship Id="rId41" Type="http://schemas.openxmlformats.org/officeDocument/2006/relationships/hyperlink" Target="https://10.1016/j.jprot.2021.104357" TargetMode="External"/><Relationship Id="rId1" Type="http://schemas.openxmlformats.org/officeDocument/2006/relationships/hyperlink" Target="https://doi.org/10.15252/msb.20145227" TargetMode="External"/><Relationship Id="rId6" Type="http://schemas.openxmlformats.org/officeDocument/2006/relationships/hyperlink" Target="https://doi.org/10.1371/journal.pcbi.1004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93D4-22F8-5546-8503-37CC91943E15}">
  <dimension ref="A1:E187"/>
  <sheetViews>
    <sheetView topLeftCell="A163" workbookViewId="0">
      <selection sqref="A1:XFD2"/>
    </sheetView>
  </sheetViews>
  <sheetFormatPr baseColWidth="10" defaultRowHeight="16" x14ac:dyDescent="0.2"/>
  <cols>
    <col min="1" max="1" width="30" customWidth="1"/>
    <col min="2" max="2" width="27" customWidth="1"/>
    <col min="3" max="3" width="20" customWidth="1"/>
    <col min="4" max="5" width="23.1640625" customWidth="1"/>
  </cols>
  <sheetData>
    <row r="1" spans="1:5" x14ac:dyDescent="0.2">
      <c r="A1" s="6" t="s">
        <v>887</v>
      </c>
    </row>
    <row r="2" spans="1:5" x14ac:dyDescent="0.2">
      <c r="A2" s="7" t="s">
        <v>885</v>
      </c>
      <c r="B2" s="7" t="s">
        <v>883</v>
      </c>
      <c r="C2" s="7" t="s">
        <v>884</v>
      </c>
      <c r="D2" s="7" t="s">
        <v>889</v>
      </c>
      <c r="E2" s="7" t="s">
        <v>336</v>
      </c>
    </row>
    <row r="3" spans="1:5" x14ac:dyDescent="0.2">
      <c r="A3" t="s">
        <v>1</v>
      </c>
      <c r="B3">
        <v>145</v>
      </c>
      <c r="C3">
        <v>684281</v>
      </c>
      <c r="D3" t="s">
        <v>260</v>
      </c>
    </row>
    <row r="4" spans="1:5" x14ac:dyDescent="0.2">
      <c r="A4" t="s">
        <v>334</v>
      </c>
      <c r="B4">
        <v>361</v>
      </c>
      <c r="C4">
        <v>328702</v>
      </c>
      <c r="D4" t="s">
        <v>260</v>
      </c>
      <c r="E4" t="s">
        <v>886</v>
      </c>
    </row>
    <row r="5" spans="1:5" x14ac:dyDescent="0.2">
      <c r="A5" t="s">
        <v>2</v>
      </c>
      <c r="B5">
        <v>11</v>
      </c>
      <c r="C5">
        <v>10944</v>
      </c>
      <c r="D5" t="s">
        <v>260</v>
      </c>
    </row>
    <row r="6" spans="1:5" x14ac:dyDescent="0.2">
      <c r="A6" t="s">
        <v>261</v>
      </c>
      <c r="B6">
        <v>1829</v>
      </c>
      <c r="C6">
        <v>584823</v>
      </c>
      <c r="D6" t="s">
        <v>259</v>
      </c>
    </row>
    <row r="7" spans="1:5" x14ac:dyDescent="0.2">
      <c r="A7" t="s">
        <v>262</v>
      </c>
      <c r="B7">
        <v>157</v>
      </c>
      <c r="C7">
        <v>287694</v>
      </c>
      <c r="D7" t="s">
        <v>259</v>
      </c>
    </row>
    <row r="8" spans="1:5" x14ac:dyDescent="0.2">
      <c r="A8" t="s">
        <v>3</v>
      </c>
      <c r="B8">
        <v>108</v>
      </c>
      <c r="C8">
        <v>173356</v>
      </c>
      <c r="D8" t="s">
        <v>260</v>
      </c>
    </row>
    <row r="9" spans="1:5" x14ac:dyDescent="0.2">
      <c r="A9" t="s">
        <v>4</v>
      </c>
      <c r="B9">
        <v>84</v>
      </c>
      <c r="C9">
        <v>48280</v>
      </c>
      <c r="D9" t="s">
        <v>260</v>
      </c>
    </row>
    <row r="10" spans="1:5" x14ac:dyDescent="0.2">
      <c r="A10" t="s">
        <v>263</v>
      </c>
      <c r="B10">
        <v>4</v>
      </c>
      <c r="C10">
        <v>100848</v>
      </c>
      <c r="D10" t="s">
        <v>259</v>
      </c>
    </row>
    <row r="11" spans="1:5" x14ac:dyDescent="0.2">
      <c r="A11" t="s">
        <v>5</v>
      </c>
      <c r="B11">
        <v>1440</v>
      </c>
      <c r="C11">
        <v>850886</v>
      </c>
      <c r="D11" t="s">
        <v>260</v>
      </c>
    </row>
    <row r="12" spans="1:5" x14ac:dyDescent="0.2">
      <c r="A12" t="s">
        <v>264</v>
      </c>
      <c r="B12">
        <v>16</v>
      </c>
      <c r="C12">
        <v>33589</v>
      </c>
      <c r="D12" t="s">
        <v>259</v>
      </c>
    </row>
    <row r="13" spans="1:5" x14ac:dyDescent="0.2">
      <c r="A13" t="s">
        <v>265</v>
      </c>
      <c r="B13">
        <v>1008</v>
      </c>
      <c r="C13">
        <v>390953</v>
      </c>
      <c r="D13" t="s">
        <v>259</v>
      </c>
    </row>
    <row r="14" spans="1:5" x14ac:dyDescent="0.2">
      <c r="A14" t="s">
        <v>266</v>
      </c>
      <c r="B14">
        <v>23</v>
      </c>
      <c r="C14">
        <v>17569</v>
      </c>
      <c r="D14" t="s">
        <v>259</v>
      </c>
    </row>
    <row r="15" spans="1:5" x14ac:dyDescent="0.2">
      <c r="A15" t="s">
        <v>267</v>
      </c>
      <c r="B15">
        <v>4</v>
      </c>
      <c r="C15">
        <v>7650</v>
      </c>
      <c r="D15" t="s">
        <v>259</v>
      </c>
    </row>
    <row r="16" spans="1:5" x14ac:dyDescent="0.2">
      <c r="A16" t="s">
        <v>268</v>
      </c>
      <c r="B16">
        <v>1</v>
      </c>
      <c r="C16">
        <v>4142</v>
      </c>
      <c r="D16" t="s">
        <v>259</v>
      </c>
    </row>
    <row r="17" spans="1:4" x14ac:dyDescent="0.2">
      <c r="A17" t="s">
        <v>269</v>
      </c>
      <c r="B17">
        <v>17</v>
      </c>
      <c r="C17">
        <v>23849</v>
      </c>
      <c r="D17" t="s">
        <v>259</v>
      </c>
    </row>
    <row r="18" spans="1:4" x14ac:dyDescent="0.2">
      <c r="A18" t="s">
        <v>270</v>
      </c>
      <c r="B18">
        <v>59</v>
      </c>
      <c r="C18">
        <v>54771</v>
      </c>
      <c r="D18" t="s">
        <v>259</v>
      </c>
    </row>
    <row r="19" spans="1:4" x14ac:dyDescent="0.2">
      <c r="A19" t="s">
        <v>271</v>
      </c>
      <c r="B19">
        <v>58</v>
      </c>
      <c r="C19">
        <v>42075</v>
      </c>
      <c r="D19" t="s">
        <v>259</v>
      </c>
    </row>
    <row r="20" spans="1:4" x14ac:dyDescent="0.2">
      <c r="A20" t="s">
        <v>6</v>
      </c>
      <c r="B20">
        <v>43</v>
      </c>
      <c r="C20">
        <v>34560</v>
      </c>
      <c r="D20" t="s">
        <v>260</v>
      </c>
    </row>
    <row r="21" spans="1:4" x14ac:dyDescent="0.2">
      <c r="A21" t="s">
        <v>272</v>
      </c>
      <c r="B21">
        <v>418</v>
      </c>
      <c r="C21">
        <v>294667</v>
      </c>
      <c r="D21" t="s">
        <v>259</v>
      </c>
    </row>
    <row r="22" spans="1:4" x14ac:dyDescent="0.2">
      <c r="A22" t="s">
        <v>273</v>
      </c>
      <c r="B22">
        <v>1</v>
      </c>
      <c r="C22">
        <v>25213</v>
      </c>
      <c r="D22" t="s">
        <v>259</v>
      </c>
    </row>
    <row r="23" spans="1:4" x14ac:dyDescent="0.2">
      <c r="A23" t="s">
        <v>7</v>
      </c>
      <c r="B23">
        <v>183</v>
      </c>
      <c r="C23">
        <v>318753</v>
      </c>
      <c r="D23" t="s">
        <v>260</v>
      </c>
    </row>
    <row r="24" spans="1:4" x14ac:dyDescent="0.2">
      <c r="A24" t="s">
        <v>274</v>
      </c>
      <c r="B24">
        <v>10</v>
      </c>
      <c r="C24">
        <v>56510</v>
      </c>
      <c r="D24" t="s">
        <v>259</v>
      </c>
    </row>
    <row r="25" spans="1:4" x14ac:dyDescent="0.2">
      <c r="A25" t="s">
        <v>275</v>
      </c>
      <c r="B25">
        <v>1</v>
      </c>
      <c r="C25">
        <v>2442</v>
      </c>
      <c r="D25" t="s">
        <v>259</v>
      </c>
    </row>
    <row r="26" spans="1:4" x14ac:dyDescent="0.2">
      <c r="A26" t="s">
        <v>276</v>
      </c>
      <c r="B26">
        <v>4</v>
      </c>
      <c r="C26">
        <v>10882</v>
      </c>
      <c r="D26" t="s">
        <v>259</v>
      </c>
    </row>
    <row r="27" spans="1:4" x14ac:dyDescent="0.2">
      <c r="A27" t="s">
        <v>8</v>
      </c>
      <c r="B27">
        <v>27</v>
      </c>
      <c r="C27">
        <v>33360</v>
      </c>
      <c r="D27" t="s">
        <v>260</v>
      </c>
    </row>
    <row r="28" spans="1:4" x14ac:dyDescent="0.2">
      <c r="A28" t="s">
        <v>9</v>
      </c>
      <c r="B28">
        <v>618</v>
      </c>
      <c r="C28">
        <v>771575</v>
      </c>
      <c r="D28" t="s">
        <v>260</v>
      </c>
    </row>
    <row r="29" spans="1:4" x14ac:dyDescent="0.2">
      <c r="A29" t="s">
        <v>277</v>
      </c>
      <c r="B29">
        <v>485</v>
      </c>
      <c r="C29">
        <v>286974</v>
      </c>
      <c r="D29" t="s">
        <v>259</v>
      </c>
    </row>
    <row r="30" spans="1:4" x14ac:dyDescent="0.2">
      <c r="A30" t="s">
        <v>10</v>
      </c>
      <c r="B30">
        <v>350</v>
      </c>
      <c r="C30">
        <v>845175</v>
      </c>
      <c r="D30" t="s">
        <v>260</v>
      </c>
    </row>
    <row r="31" spans="1:4" x14ac:dyDescent="0.2">
      <c r="A31" t="s">
        <v>278</v>
      </c>
      <c r="B31">
        <v>605</v>
      </c>
      <c r="C31">
        <v>293448</v>
      </c>
      <c r="D31" t="s">
        <v>259</v>
      </c>
    </row>
    <row r="32" spans="1:4" x14ac:dyDescent="0.2">
      <c r="A32" t="s">
        <v>11</v>
      </c>
      <c r="B32">
        <v>72</v>
      </c>
      <c r="C32">
        <v>7311</v>
      </c>
      <c r="D32" t="s">
        <v>260</v>
      </c>
    </row>
    <row r="33" spans="1:4" x14ac:dyDescent="0.2">
      <c r="A33" t="s">
        <v>12</v>
      </c>
      <c r="B33">
        <v>127</v>
      </c>
      <c r="C33">
        <v>886505</v>
      </c>
      <c r="D33" t="s">
        <v>260</v>
      </c>
    </row>
    <row r="34" spans="1:4" x14ac:dyDescent="0.2">
      <c r="A34" t="s">
        <v>279</v>
      </c>
      <c r="B34">
        <v>26</v>
      </c>
      <c r="C34">
        <v>62792</v>
      </c>
      <c r="D34" t="s">
        <v>259</v>
      </c>
    </row>
    <row r="35" spans="1:4" x14ac:dyDescent="0.2">
      <c r="A35" t="s">
        <v>13</v>
      </c>
      <c r="B35">
        <v>44</v>
      </c>
      <c r="C35">
        <v>57052</v>
      </c>
      <c r="D35" t="s">
        <v>260</v>
      </c>
    </row>
    <row r="36" spans="1:4" x14ac:dyDescent="0.2">
      <c r="A36" t="s">
        <v>280</v>
      </c>
      <c r="B36">
        <v>14</v>
      </c>
      <c r="C36">
        <v>81464</v>
      </c>
      <c r="D36" t="s">
        <v>259</v>
      </c>
    </row>
    <row r="37" spans="1:4" x14ac:dyDescent="0.2">
      <c r="A37" t="s">
        <v>281</v>
      </c>
      <c r="B37">
        <v>6</v>
      </c>
      <c r="C37">
        <v>14226</v>
      </c>
      <c r="D37" t="s">
        <v>259</v>
      </c>
    </row>
    <row r="38" spans="1:4" x14ac:dyDescent="0.2">
      <c r="A38" t="s">
        <v>282</v>
      </c>
      <c r="B38">
        <v>231</v>
      </c>
      <c r="C38">
        <v>180482</v>
      </c>
      <c r="D38" t="s">
        <v>259</v>
      </c>
    </row>
    <row r="39" spans="1:4" x14ac:dyDescent="0.2">
      <c r="A39" t="s">
        <v>283</v>
      </c>
      <c r="B39">
        <v>1</v>
      </c>
      <c r="C39">
        <v>412</v>
      </c>
      <c r="D39" t="s">
        <v>259</v>
      </c>
    </row>
    <row r="40" spans="1:4" x14ac:dyDescent="0.2">
      <c r="A40" t="s">
        <v>284</v>
      </c>
      <c r="B40">
        <v>1856</v>
      </c>
      <c r="C40">
        <v>1199644</v>
      </c>
      <c r="D40" t="s">
        <v>259</v>
      </c>
    </row>
    <row r="41" spans="1:4" x14ac:dyDescent="0.2">
      <c r="A41" t="s">
        <v>14</v>
      </c>
      <c r="B41">
        <v>260</v>
      </c>
      <c r="C41">
        <v>174059</v>
      </c>
      <c r="D41" t="s">
        <v>260</v>
      </c>
    </row>
    <row r="42" spans="1:4" x14ac:dyDescent="0.2">
      <c r="A42" t="s">
        <v>15</v>
      </c>
      <c r="B42">
        <v>27</v>
      </c>
      <c r="C42">
        <v>41815</v>
      </c>
      <c r="D42" t="s">
        <v>260</v>
      </c>
    </row>
    <row r="43" spans="1:4" x14ac:dyDescent="0.2">
      <c r="A43" t="s">
        <v>16</v>
      </c>
      <c r="B43">
        <v>93</v>
      </c>
      <c r="C43">
        <v>24555</v>
      </c>
      <c r="D43" t="s">
        <v>260</v>
      </c>
    </row>
    <row r="44" spans="1:4" x14ac:dyDescent="0.2">
      <c r="A44" t="s">
        <v>17</v>
      </c>
      <c r="B44">
        <v>16</v>
      </c>
      <c r="C44">
        <v>49313</v>
      </c>
      <c r="D44" t="s">
        <v>260</v>
      </c>
    </row>
    <row r="45" spans="1:4" x14ac:dyDescent="0.2">
      <c r="A45" t="s">
        <v>285</v>
      </c>
      <c r="B45">
        <v>1</v>
      </c>
      <c r="C45">
        <v>2604</v>
      </c>
      <c r="D45" t="s">
        <v>259</v>
      </c>
    </row>
    <row r="46" spans="1:4" x14ac:dyDescent="0.2">
      <c r="A46" t="s">
        <v>18</v>
      </c>
      <c r="B46">
        <v>75</v>
      </c>
      <c r="C46">
        <v>233503</v>
      </c>
      <c r="D46" t="s">
        <v>260</v>
      </c>
    </row>
    <row r="47" spans="1:4" x14ac:dyDescent="0.2">
      <c r="A47" t="s">
        <v>286</v>
      </c>
      <c r="B47">
        <v>9</v>
      </c>
      <c r="C47">
        <v>66764</v>
      </c>
      <c r="D47" t="s">
        <v>259</v>
      </c>
    </row>
    <row r="48" spans="1:4" x14ac:dyDescent="0.2">
      <c r="A48" t="s">
        <v>19</v>
      </c>
      <c r="B48">
        <v>21</v>
      </c>
      <c r="C48">
        <v>5781</v>
      </c>
      <c r="D48" t="s">
        <v>260</v>
      </c>
    </row>
    <row r="49" spans="1:4" x14ac:dyDescent="0.2">
      <c r="A49" t="s">
        <v>20</v>
      </c>
      <c r="B49">
        <v>59</v>
      </c>
      <c r="C49">
        <v>262313</v>
      </c>
      <c r="D49" t="s">
        <v>260</v>
      </c>
    </row>
    <row r="50" spans="1:4" x14ac:dyDescent="0.2">
      <c r="A50" t="s">
        <v>21</v>
      </c>
      <c r="B50">
        <v>127</v>
      </c>
      <c r="C50">
        <v>29973</v>
      </c>
      <c r="D50" t="s">
        <v>260</v>
      </c>
    </row>
    <row r="51" spans="1:4" x14ac:dyDescent="0.2">
      <c r="A51" t="s">
        <v>22</v>
      </c>
      <c r="B51">
        <v>70</v>
      </c>
      <c r="C51">
        <v>180857</v>
      </c>
      <c r="D51" t="s">
        <v>260</v>
      </c>
    </row>
    <row r="52" spans="1:4" x14ac:dyDescent="0.2">
      <c r="A52" t="s">
        <v>23</v>
      </c>
      <c r="B52">
        <v>51</v>
      </c>
      <c r="C52">
        <v>3671</v>
      </c>
      <c r="D52" t="s">
        <v>260</v>
      </c>
    </row>
    <row r="53" spans="1:4" x14ac:dyDescent="0.2">
      <c r="A53" t="s">
        <v>24</v>
      </c>
      <c r="B53">
        <v>13</v>
      </c>
      <c r="C53">
        <v>89104</v>
      </c>
      <c r="D53" t="s">
        <v>260</v>
      </c>
    </row>
    <row r="54" spans="1:4" x14ac:dyDescent="0.2">
      <c r="A54" t="s">
        <v>25</v>
      </c>
      <c r="B54">
        <v>37</v>
      </c>
      <c r="C54">
        <v>13017</v>
      </c>
      <c r="D54" t="s">
        <v>260</v>
      </c>
    </row>
    <row r="55" spans="1:4" x14ac:dyDescent="0.2">
      <c r="A55" t="s">
        <v>287</v>
      </c>
      <c r="B55">
        <v>110</v>
      </c>
      <c r="C55">
        <v>59780</v>
      </c>
      <c r="D55" t="s">
        <v>259</v>
      </c>
    </row>
    <row r="56" spans="1:4" x14ac:dyDescent="0.2">
      <c r="A56" t="s">
        <v>288</v>
      </c>
      <c r="B56">
        <v>9</v>
      </c>
      <c r="C56">
        <v>112314</v>
      </c>
      <c r="D56" t="s">
        <v>259</v>
      </c>
    </row>
    <row r="57" spans="1:4" x14ac:dyDescent="0.2">
      <c r="A57" t="s">
        <v>26</v>
      </c>
      <c r="B57">
        <v>11</v>
      </c>
      <c r="C57">
        <v>27198</v>
      </c>
      <c r="D57" t="s">
        <v>260</v>
      </c>
    </row>
    <row r="58" spans="1:4" x14ac:dyDescent="0.2">
      <c r="A58" t="s">
        <v>27</v>
      </c>
      <c r="B58">
        <v>66</v>
      </c>
      <c r="C58">
        <v>193346</v>
      </c>
      <c r="D58" t="s">
        <v>260</v>
      </c>
    </row>
    <row r="59" spans="1:4" x14ac:dyDescent="0.2">
      <c r="A59" t="s">
        <v>28</v>
      </c>
      <c r="B59">
        <v>103</v>
      </c>
      <c r="C59">
        <v>266395</v>
      </c>
      <c r="D59" t="s">
        <v>260</v>
      </c>
    </row>
    <row r="60" spans="1:4" x14ac:dyDescent="0.2">
      <c r="A60" t="s">
        <v>29</v>
      </c>
      <c r="B60">
        <v>32</v>
      </c>
      <c r="C60">
        <v>11670</v>
      </c>
      <c r="D60" t="s">
        <v>260</v>
      </c>
    </row>
    <row r="61" spans="1:4" x14ac:dyDescent="0.2">
      <c r="A61" t="s">
        <v>289</v>
      </c>
      <c r="B61">
        <v>9</v>
      </c>
      <c r="C61">
        <v>24849</v>
      </c>
      <c r="D61" t="s">
        <v>259</v>
      </c>
    </row>
    <row r="62" spans="1:4" x14ac:dyDescent="0.2">
      <c r="A62" t="s">
        <v>290</v>
      </c>
      <c r="B62">
        <v>6</v>
      </c>
      <c r="C62">
        <v>16415</v>
      </c>
      <c r="D62" t="s">
        <v>259</v>
      </c>
    </row>
    <row r="63" spans="1:4" x14ac:dyDescent="0.2">
      <c r="A63" t="s">
        <v>30</v>
      </c>
      <c r="B63">
        <v>48</v>
      </c>
      <c r="C63">
        <v>13254</v>
      </c>
      <c r="D63" t="s">
        <v>260</v>
      </c>
    </row>
    <row r="64" spans="1:4" x14ac:dyDescent="0.2">
      <c r="A64" t="s">
        <v>291</v>
      </c>
      <c r="B64">
        <v>190</v>
      </c>
      <c r="C64">
        <v>224286</v>
      </c>
      <c r="D64" t="s">
        <v>259</v>
      </c>
    </row>
    <row r="65" spans="1:4" x14ac:dyDescent="0.2">
      <c r="A65" t="s">
        <v>292</v>
      </c>
      <c r="B65">
        <v>3</v>
      </c>
      <c r="C65">
        <v>64282</v>
      </c>
      <c r="D65" t="s">
        <v>259</v>
      </c>
    </row>
    <row r="66" spans="1:4" x14ac:dyDescent="0.2">
      <c r="A66" t="s">
        <v>31</v>
      </c>
      <c r="B66">
        <v>11</v>
      </c>
      <c r="C66">
        <v>31729</v>
      </c>
      <c r="D66" t="s">
        <v>260</v>
      </c>
    </row>
    <row r="67" spans="1:4" x14ac:dyDescent="0.2">
      <c r="A67" t="s">
        <v>32</v>
      </c>
      <c r="B67">
        <v>35</v>
      </c>
      <c r="C67">
        <v>124548</v>
      </c>
      <c r="D67" t="s">
        <v>260</v>
      </c>
    </row>
    <row r="68" spans="1:4" x14ac:dyDescent="0.2">
      <c r="A68" t="s">
        <v>33</v>
      </c>
      <c r="B68">
        <v>12</v>
      </c>
      <c r="C68">
        <v>160379</v>
      </c>
      <c r="D68" t="s">
        <v>260</v>
      </c>
    </row>
    <row r="69" spans="1:4" x14ac:dyDescent="0.2">
      <c r="A69" t="s">
        <v>34</v>
      </c>
      <c r="B69">
        <v>489</v>
      </c>
      <c r="C69">
        <v>1309812</v>
      </c>
      <c r="D69" t="s">
        <v>260</v>
      </c>
    </row>
    <row r="70" spans="1:4" x14ac:dyDescent="0.2">
      <c r="A70" t="s">
        <v>293</v>
      </c>
      <c r="B70">
        <v>2</v>
      </c>
      <c r="C70">
        <v>33400</v>
      </c>
      <c r="D70" t="s">
        <v>259</v>
      </c>
    </row>
    <row r="71" spans="1:4" x14ac:dyDescent="0.2">
      <c r="A71" t="s">
        <v>35</v>
      </c>
      <c r="B71">
        <v>39</v>
      </c>
      <c r="C71">
        <v>114107</v>
      </c>
      <c r="D71" t="s">
        <v>260</v>
      </c>
    </row>
    <row r="72" spans="1:4" x14ac:dyDescent="0.2">
      <c r="A72" t="s">
        <v>36</v>
      </c>
      <c r="B72">
        <v>47</v>
      </c>
      <c r="C72">
        <v>266805</v>
      </c>
      <c r="D72" t="s">
        <v>260</v>
      </c>
    </row>
    <row r="73" spans="1:4" x14ac:dyDescent="0.2">
      <c r="A73" t="s">
        <v>294</v>
      </c>
      <c r="B73">
        <v>5</v>
      </c>
      <c r="C73">
        <v>72027</v>
      </c>
      <c r="D73" t="s">
        <v>259</v>
      </c>
    </row>
    <row r="74" spans="1:4" x14ac:dyDescent="0.2">
      <c r="A74" t="s">
        <v>37</v>
      </c>
      <c r="B74">
        <v>111</v>
      </c>
      <c r="C74">
        <v>7991</v>
      </c>
      <c r="D74" t="s">
        <v>259</v>
      </c>
    </row>
    <row r="75" spans="1:4" x14ac:dyDescent="0.2">
      <c r="A75" t="s">
        <v>295</v>
      </c>
      <c r="B75">
        <v>1</v>
      </c>
      <c r="C75">
        <v>11829</v>
      </c>
      <c r="D75" t="s">
        <v>259</v>
      </c>
    </row>
    <row r="76" spans="1:4" x14ac:dyDescent="0.2">
      <c r="A76" t="s">
        <v>38</v>
      </c>
      <c r="B76">
        <v>312</v>
      </c>
      <c r="C76">
        <v>721662</v>
      </c>
      <c r="D76" t="s">
        <v>260</v>
      </c>
    </row>
    <row r="77" spans="1:4" x14ac:dyDescent="0.2">
      <c r="A77" t="s">
        <v>296</v>
      </c>
      <c r="B77">
        <v>1</v>
      </c>
      <c r="C77">
        <v>15003</v>
      </c>
      <c r="D77" t="s">
        <v>259</v>
      </c>
    </row>
    <row r="78" spans="1:4" x14ac:dyDescent="0.2">
      <c r="A78" t="s">
        <v>297</v>
      </c>
      <c r="B78">
        <v>4</v>
      </c>
      <c r="C78">
        <v>16911</v>
      </c>
      <c r="D78" t="s">
        <v>259</v>
      </c>
    </row>
    <row r="79" spans="1:4" x14ac:dyDescent="0.2">
      <c r="A79" t="s">
        <v>298</v>
      </c>
      <c r="B79">
        <v>774</v>
      </c>
      <c r="C79">
        <v>605785</v>
      </c>
      <c r="D79" t="s">
        <v>259</v>
      </c>
    </row>
    <row r="80" spans="1:4" x14ac:dyDescent="0.2">
      <c r="A80" t="s">
        <v>299</v>
      </c>
      <c r="B80">
        <v>1</v>
      </c>
      <c r="C80">
        <v>412</v>
      </c>
      <c r="D80" t="s">
        <v>259</v>
      </c>
    </row>
    <row r="81" spans="1:4" x14ac:dyDescent="0.2">
      <c r="A81" t="s">
        <v>300</v>
      </c>
      <c r="B81">
        <v>64</v>
      </c>
      <c r="C81">
        <v>32531</v>
      </c>
      <c r="D81" t="s">
        <v>259</v>
      </c>
    </row>
    <row r="82" spans="1:4" x14ac:dyDescent="0.2">
      <c r="A82" t="s">
        <v>39</v>
      </c>
      <c r="B82">
        <v>18</v>
      </c>
      <c r="C82">
        <v>559908</v>
      </c>
      <c r="D82" t="s">
        <v>260</v>
      </c>
    </row>
    <row r="83" spans="1:4" x14ac:dyDescent="0.2">
      <c r="A83" t="s">
        <v>301</v>
      </c>
      <c r="B83">
        <v>7</v>
      </c>
      <c r="C83">
        <v>40221</v>
      </c>
      <c r="D83" t="s">
        <v>259</v>
      </c>
    </row>
    <row r="84" spans="1:4" x14ac:dyDescent="0.2">
      <c r="A84" t="s">
        <v>40</v>
      </c>
      <c r="B84">
        <v>132</v>
      </c>
      <c r="C84">
        <v>173729</v>
      </c>
      <c r="D84" t="s">
        <v>260</v>
      </c>
    </row>
    <row r="85" spans="1:4" x14ac:dyDescent="0.2">
      <c r="A85" t="s">
        <v>41</v>
      </c>
      <c r="B85">
        <v>59</v>
      </c>
      <c r="C85">
        <v>262091</v>
      </c>
      <c r="D85" t="s">
        <v>260</v>
      </c>
    </row>
    <row r="86" spans="1:4" x14ac:dyDescent="0.2">
      <c r="A86" t="s">
        <v>302</v>
      </c>
      <c r="B86">
        <v>7</v>
      </c>
      <c r="C86">
        <v>6638</v>
      </c>
      <c r="D86" t="s">
        <v>259</v>
      </c>
    </row>
    <row r="87" spans="1:4" x14ac:dyDescent="0.2">
      <c r="A87" t="s">
        <v>303</v>
      </c>
      <c r="B87">
        <v>7</v>
      </c>
      <c r="C87">
        <v>1977</v>
      </c>
      <c r="D87" t="s">
        <v>259</v>
      </c>
    </row>
    <row r="88" spans="1:4" x14ac:dyDescent="0.2">
      <c r="A88" t="s">
        <v>304</v>
      </c>
      <c r="B88">
        <v>6</v>
      </c>
      <c r="C88">
        <v>49277</v>
      </c>
      <c r="D88" t="s">
        <v>259</v>
      </c>
    </row>
    <row r="89" spans="1:4" x14ac:dyDescent="0.2">
      <c r="A89" t="s">
        <v>42</v>
      </c>
      <c r="B89">
        <v>70</v>
      </c>
      <c r="C89">
        <v>229777</v>
      </c>
      <c r="D89" t="s">
        <v>260</v>
      </c>
    </row>
    <row r="90" spans="1:4" x14ac:dyDescent="0.2">
      <c r="A90" t="s">
        <v>305</v>
      </c>
      <c r="B90">
        <v>1045</v>
      </c>
      <c r="C90">
        <v>656748</v>
      </c>
      <c r="D90" t="s">
        <v>259</v>
      </c>
    </row>
    <row r="91" spans="1:4" x14ac:dyDescent="0.2">
      <c r="A91" t="s">
        <v>43</v>
      </c>
      <c r="B91">
        <v>123</v>
      </c>
      <c r="C91">
        <v>45559</v>
      </c>
      <c r="D91" t="s">
        <v>260</v>
      </c>
    </row>
    <row r="92" spans="1:4" x14ac:dyDescent="0.2">
      <c r="A92" t="s">
        <v>306</v>
      </c>
      <c r="B92">
        <v>7</v>
      </c>
      <c r="C92">
        <v>5730</v>
      </c>
      <c r="D92" t="s">
        <v>259</v>
      </c>
    </row>
    <row r="93" spans="1:4" x14ac:dyDescent="0.2">
      <c r="A93" t="s">
        <v>307</v>
      </c>
      <c r="B93">
        <v>3</v>
      </c>
      <c r="C93">
        <v>8228</v>
      </c>
      <c r="D93" t="s">
        <v>259</v>
      </c>
    </row>
    <row r="94" spans="1:4" x14ac:dyDescent="0.2">
      <c r="A94" t="s">
        <v>44</v>
      </c>
      <c r="B94">
        <v>37</v>
      </c>
      <c r="C94">
        <v>286981</v>
      </c>
      <c r="D94" t="s">
        <v>260</v>
      </c>
    </row>
    <row r="95" spans="1:4" x14ac:dyDescent="0.2">
      <c r="A95" t="s">
        <v>45</v>
      </c>
      <c r="B95">
        <v>98</v>
      </c>
      <c r="C95">
        <v>10055</v>
      </c>
      <c r="D95" t="s">
        <v>260</v>
      </c>
    </row>
    <row r="96" spans="1:4" x14ac:dyDescent="0.2">
      <c r="A96" t="s">
        <v>308</v>
      </c>
      <c r="B96">
        <v>3</v>
      </c>
      <c r="C96">
        <v>145467</v>
      </c>
      <c r="D96" t="s">
        <v>259</v>
      </c>
    </row>
    <row r="97" spans="1:4" x14ac:dyDescent="0.2">
      <c r="A97" t="s">
        <v>46</v>
      </c>
      <c r="B97">
        <v>512</v>
      </c>
      <c r="C97">
        <v>873876</v>
      </c>
      <c r="D97" t="s">
        <v>260</v>
      </c>
    </row>
    <row r="98" spans="1:4" x14ac:dyDescent="0.2">
      <c r="A98" t="s">
        <v>47</v>
      </c>
      <c r="B98">
        <v>133</v>
      </c>
      <c r="C98">
        <v>283399</v>
      </c>
      <c r="D98" t="s">
        <v>260</v>
      </c>
    </row>
    <row r="99" spans="1:4" x14ac:dyDescent="0.2">
      <c r="A99" t="s">
        <v>48</v>
      </c>
      <c r="B99">
        <v>53</v>
      </c>
      <c r="C99">
        <v>98965</v>
      </c>
      <c r="D99" t="s">
        <v>260</v>
      </c>
    </row>
    <row r="100" spans="1:4" x14ac:dyDescent="0.2">
      <c r="A100" t="s">
        <v>49</v>
      </c>
      <c r="B100">
        <v>17</v>
      </c>
      <c r="C100">
        <v>58704</v>
      </c>
      <c r="D100" t="s">
        <v>260</v>
      </c>
    </row>
    <row r="101" spans="1:4" x14ac:dyDescent="0.2">
      <c r="A101" t="s">
        <v>50</v>
      </c>
      <c r="B101">
        <v>573</v>
      </c>
      <c r="C101">
        <v>894590</v>
      </c>
      <c r="D101" t="s">
        <v>260</v>
      </c>
    </row>
    <row r="102" spans="1:4" x14ac:dyDescent="0.2">
      <c r="A102" t="s">
        <v>309</v>
      </c>
      <c r="B102">
        <v>1327</v>
      </c>
      <c r="C102">
        <v>926382</v>
      </c>
      <c r="D102" t="s">
        <v>259</v>
      </c>
    </row>
    <row r="103" spans="1:4" x14ac:dyDescent="0.2">
      <c r="A103" t="s">
        <v>51</v>
      </c>
      <c r="B103">
        <v>4617</v>
      </c>
      <c r="C103">
        <v>1162426</v>
      </c>
      <c r="D103" t="s">
        <v>260</v>
      </c>
    </row>
    <row r="104" spans="1:4" x14ac:dyDescent="0.2">
      <c r="A104" t="s">
        <v>52</v>
      </c>
      <c r="B104">
        <v>28</v>
      </c>
      <c r="C104">
        <v>69192</v>
      </c>
      <c r="D104" t="s">
        <v>260</v>
      </c>
    </row>
    <row r="105" spans="1:4" x14ac:dyDescent="0.2">
      <c r="A105" t="s">
        <v>53</v>
      </c>
      <c r="B105">
        <v>76</v>
      </c>
      <c r="C105">
        <v>22590</v>
      </c>
      <c r="D105" t="s">
        <v>260</v>
      </c>
    </row>
    <row r="106" spans="1:4" x14ac:dyDescent="0.2">
      <c r="A106" t="s">
        <v>54</v>
      </c>
      <c r="B106">
        <v>62</v>
      </c>
      <c r="C106">
        <v>425534</v>
      </c>
      <c r="D106" t="s">
        <v>260</v>
      </c>
    </row>
    <row r="107" spans="1:4" x14ac:dyDescent="0.2">
      <c r="A107" t="s">
        <v>55</v>
      </c>
      <c r="B107">
        <v>23</v>
      </c>
      <c r="C107">
        <v>51129</v>
      </c>
      <c r="D107" t="s">
        <v>260</v>
      </c>
    </row>
    <row r="108" spans="1:4" x14ac:dyDescent="0.2">
      <c r="A108" t="s">
        <v>56</v>
      </c>
      <c r="B108">
        <v>414</v>
      </c>
      <c r="C108">
        <v>1290115</v>
      </c>
      <c r="D108" t="s">
        <v>260</v>
      </c>
    </row>
    <row r="109" spans="1:4" x14ac:dyDescent="0.2">
      <c r="A109" t="s">
        <v>57</v>
      </c>
      <c r="B109">
        <v>499</v>
      </c>
      <c r="C109">
        <v>764461</v>
      </c>
      <c r="D109" t="s">
        <v>260</v>
      </c>
    </row>
    <row r="110" spans="1:4" x14ac:dyDescent="0.2">
      <c r="A110" t="s">
        <v>310</v>
      </c>
      <c r="B110">
        <v>8</v>
      </c>
      <c r="C110">
        <v>16713</v>
      </c>
      <c r="D110" t="s">
        <v>259</v>
      </c>
    </row>
    <row r="111" spans="1:4" x14ac:dyDescent="0.2">
      <c r="A111" t="s">
        <v>58</v>
      </c>
      <c r="B111">
        <v>85</v>
      </c>
      <c r="C111">
        <v>74780</v>
      </c>
      <c r="D111" t="s">
        <v>260</v>
      </c>
    </row>
    <row r="112" spans="1:4" x14ac:dyDescent="0.2">
      <c r="A112" t="s">
        <v>311</v>
      </c>
      <c r="B112">
        <v>61</v>
      </c>
      <c r="C112">
        <v>177995</v>
      </c>
      <c r="D112" t="s">
        <v>259</v>
      </c>
    </row>
    <row r="113" spans="1:4" x14ac:dyDescent="0.2">
      <c r="A113" t="s">
        <v>312</v>
      </c>
      <c r="B113">
        <v>4</v>
      </c>
      <c r="C113">
        <v>3543</v>
      </c>
      <c r="D113" t="s">
        <v>259</v>
      </c>
    </row>
    <row r="114" spans="1:4" x14ac:dyDescent="0.2">
      <c r="A114" t="s">
        <v>59</v>
      </c>
      <c r="B114">
        <v>51</v>
      </c>
      <c r="C114">
        <v>42097</v>
      </c>
      <c r="D114" t="s">
        <v>260</v>
      </c>
    </row>
    <row r="115" spans="1:4" x14ac:dyDescent="0.2">
      <c r="A115" t="s">
        <v>60</v>
      </c>
      <c r="B115">
        <v>582</v>
      </c>
      <c r="C115">
        <v>952485</v>
      </c>
      <c r="D115" t="s">
        <v>260</v>
      </c>
    </row>
    <row r="116" spans="1:4" x14ac:dyDescent="0.2">
      <c r="A116" t="s">
        <v>61</v>
      </c>
      <c r="B116">
        <v>366</v>
      </c>
      <c r="C116">
        <v>456971</v>
      </c>
      <c r="D116" t="s">
        <v>260</v>
      </c>
    </row>
    <row r="117" spans="1:4" x14ac:dyDescent="0.2">
      <c r="A117" t="s">
        <v>62</v>
      </c>
      <c r="B117">
        <v>53</v>
      </c>
      <c r="C117">
        <v>19268</v>
      </c>
      <c r="D117" t="s">
        <v>260</v>
      </c>
    </row>
    <row r="118" spans="1:4" x14ac:dyDescent="0.2">
      <c r="A118" t="s">
        <v>63</v>
      </c>
      <c r="B118">
        <v>33</v>
      </c>
      <c r="C118">
        <v>23854</v>
      </c>
      <c r="D118" t="s">
        <v>260</v>
      </c>
    </row>
    <row r="119" spans="1:4" x14ac:dyDescent="0.2">
      <c r="A119" t="s">
        <v>64</v>
      </c>
      <c r="B119">
        <v>195</v>
      </c>
      <c r="C119">
        <v>89263</v>
      </c>
      <c r="D119" t="s">
        <v>260</v>
      </c>
    </row>
    <row r="120" spans="1:4" x14ac:dyDescent="0.2">
      <c r="A120" t="s">
        <v>65</v>
      </c>
      <c r="B120">
        <v>186</v>
      </c>
      <c r="C120">
        <v>19395</v>
      </c>
      <c r="D120" t="s">
        <v>260</v>
      </c>
    </row>
    <row r="121" spans="1:4" x14ac:dyDescent="0.2">
      <c r="A121" t="s">
        <v>66</v>
      </c>
      <c r="B121">
        <v>101</v>
      </c>
      <c r="C121">
        <v>9101</v>
      </c>
      <c r="D121" t="s">
        <v>260</v>
      </c>
    </row>
    <row r="122" spans="1:4" x14ac:dyDescent="0.2">
      <c r="A122" t="s">
        <v>67</v>
      </c>
      <c r="B122">
        <v>810</v>
      </c>
      <c r="C122">
        <v>1516961</v>
      </c>
      <c r="D122" t="s">
        <v>260</v>
      </c>
    </row>
    <row r="123" spans="1:4" x14ac:dyDescent="0.2">
      <c r="A123" t="s">
        <v>313</v>
      </c>
      <c r="B123">
        <v>47</v>
      </c>
      <c r="C123">
        <v>57957</v>
      </c>
      <c r="D123" t="s">
        <v>259</v>
      </c>
    </row>
    <row r="124" spans="1:4" x14ac:dyDescent="0.2">
      <c r="A124" t="s">
        <v>314</v>
      </c>
      <c r="B124">
        <v>1</v>
      </c>
      <c r="C124">
        <v>540</v>
      </c>
      <c r="D124" t="s">
        <v>259</v>
      </c>
    </row>
    <row r="125" spans="1:4" x14ac:dyDescent="0.2">
      <c r="A125" t="s">
        <v>68</v>
      </c>
      <c r="B125">
        <v>244</v>
      </c>
      <c r="C125">
        <v>231194</v>
      </c>
      <c r="D125" t="s">
        <v>260</v>
      </c>
    </row>
    <row r="126" spans="1:4" x14ac:dyDescent="0.2">
      <c r="A126" t="s">
        <v>69</v>
      </c>
      <c r="B126">
        <v>112</v>
      </c>
      <c r="C126">
        <v>506710</v>
      </c>
      <c r="D126" t="s">
        <v>260</v>
      </c>
    </row>
    <row r="127" spans="1:4" x14ac:dyDescent="0.2">
      <c r="A127" t="s">
        <v>70</v>
      </c>
      <c r="B127">
        <v>182</v>
      </c>
      <c r="C127">
        <v>196264</v>
      </c>
      <c r="D127" t="s">
        <v>260</v>
      </c>
    </row>
    <row r="128" spans="1:4" x14ac:dyDescent="0.2">
      <c r="A128" t="s">
        <v>71</v>
      </c>
      <c r="B128">
        <v>15</v>
      </c>
      <c r="C128">
        <v>47473</v>
      </c>
      <c r="D128" t="s">
        <v>260</v>
      </c>
    </row>
    <row r="129" spans="1:4" x14ac:dyDescent="0.2">
      <c r="A129" t="s">
        <v>72</v>
      </c>
      <c r="B129">
        <v>22</v>
      </c>
      <c r="C129">
        <v>32892</v>
      </c>
      <c r="D129" t="s">
        <v>260</v>
      </c>
    </row>
    <row r="130" spans="1:4" x14ac:dyDescent="0.2">
      <c r="A130" t="s">
        <v>315</v>
      </c>
      <c r="B130">
        <v>1</v>
      </c>
      <c r="C130">
        <v>83751</v>
      </c>
      <c r="D130" t="s">
        <v>259</v>
      </c>
    </row>
    <row r="131" spans="1:4" x14ac:dyDescent="0.2">
      <c r="A131" t="s">
        <v>73</v>
      </c>
      <c r="B131">
        <v>115</v>
      </c>
      <c r="C131">
        <v>113619</v>
      </c>
      <c r="D131" t="s">
        <v>260</v>
      </c>
    </row>
    <row r="132" spans="1:4" x14ac:dyDescent="0.2">
      <c r="A132" t="s">
        <v>74</v>
      </c>
      <c r="B132">
        <v>15</v>
      </c>
      <c r="C132">
        <v>47156</v>
      </c>
      <c r="D132" t="s">
        <v>260</v>
      </c>
    </row>
    <row r="133" spans="1:4" x14ac:dyDescent="0.2">
      <c r="A133" t="s">
        <v>75</v>
      </c>
      <c r="B133">
        <v>28</v>
      </c>
      <c r="C133">
        <v>3144</v>
      </c>
      <c r="D133" t="s">
        <v>260</v>
      </c>
    </row>
    <row r="134" spans="1:4" x14ac:dyDescent="0.2">
      <c r="A134" t="s">
        <v>316</v>
      </c>
      <c r="B134">
        <v>10</v>
      </c>
      <c r="C134">
        <v>1386</v>
      </c>
      <c r="D134" t="s">
        <v>259</v>
      </c>
    </row>
    <row r="135" spans="1:4" x14ac:dyDescent="0.2">
      <c r="A135" t="s">
        <v>317</v>
      </c>
      <c r="B135">
        <v>2</v>
      </c>
      <c r="C135">
        <v>544</v>
      </c>
      <c r="D135" t="s">
        <v>259</v>
      </c>
    </row>
    <row r="136" spans="1:4" x14ac:dyDescent="0.2">
      <c r="A136" t="s">
        <v>318</v>
      </c>
      <c r="B136">
        <v>3</v>
      </c>
      <c r="C136">
        <v>52404</v>
      </c>
      <c r="D136" t="s">
        <v>259</v>
      </c>
    </row>
    <row r="137" spans="1:4" x14ac:dyDescent="0.2">
      <c r="A137" t="s">
        <v>76</v>
      </c>
      <c r="B137">
        <v>1052</v>
      </c>
      <c r="C137">
        <v>1029451</v>
      </c>
      <c r="D137" t="s">
        <v>260</v>
      </c>
    </row>
    <row r="138" spans="1:4" x14ac:dyDescent="0.2">
      <c r="A138" t="s">
        <v>77</v>
      </c>
      <c r="B138">
        <v>62</v>
      </c>
      <c r="C138">
        <v>232873</v>
      </c>
      <c r="D138" t="s">
        <v>260</v>
      </c>
    </row>
    <row r="139" spans="1:4" x14ac:dyDescent="0.2">
      <c r="A139" t="s">
        <v>319</v>
      </c>
      <c r="B139">
        <v>612</v>
      </c>
      <c r="C139">
        <v>976395</v>
      </c>
      <c r="D139" t="s">
        <v>259</v>
      </c>
    </row>
    <row r="140" spans="1:4" x14ac:dyDescent="0.2">
      <c r="A140" t="s">
        <v>78</v>
      </c>
      <c r="B140">
        <v>44</v>
      </c>
      <c r="C140">
        <v>34411</v>
      </c>
      <c r="D140" t="s">
        <v>260</v>
      </c>
    </row>
    <row r="141" spans="1:4" x14ac:dyDescent="0.2">
      <c r="A141" t="s">
        <v>79</v>
      </c>
      <c r="B141">
        <v>1397</v>
      </c>
      <c r="C141">
        <v>108988</v>
      </c>
      <c r="D141" t="s">
        <v>260</v>
      </c>
    </row>
    <row r="142" spans="1:4" x14ac:dyDescent="0.2">
      <c r="A142" t="s">
        <v>80</v>
      </c>
      <c r="B142">
        <v>51</v>
      </c>
      <c r="C142">
        <v>5020</v>
      </c>
      <c r="D142" t="s">
        <v>260</v>
      </c>
    </row>
    <row r="143" spans="1:4" x14ac:dyDescent="0.2">
      <c r="A143" t="s">
        <v>81</v>
      </c>
      <c r="B143">
        <v>96</v>
      </c>
      <c r="C143">
        <v>65334</v>
      </c>
      <c r="D143" t="s">
        <v>260</v>
      </c>
    </row>
    <row r="144" spans="1:4" x14ac:dyDescent="0.2">
      <c r="A144" t="s">
        <v>82</v>
      </c>
      <c r="B144">
        <v>17</v>
      </c>
      <c r="C144">
        <v>29643</v>
      </c>
      <c r="D144" t="s">
        <v>260</v>
      </c>
    </row>
    <row r="145" spans="1:4" x14ac:dyDescent="0.2">
      <c r="A145" t="s">
        <v>83</v>
      </c>
      <c r="B145">
        <v>265</v>
      </c>
      <c r="C145">
        <v>483158</v>
      </c>
      <c r="D145" t="s">
        <v>260</v>
      </c>
    </row>
    <row r="146" spans="1:4" x14ac:dyDescent="0.2">
      <c r="A146" t="s">
        <v>84</v>
      </c>
      <c r="B146">
        <v>89</v>
      </c>
      <c r="C146">
        <v>114299</v>
      </c>
      <c r="D146" t="s">
        <v>260</v>
      </c>
    </row>
    <row r="147" spans="1:4" x14ac:dyDescent="0.2">
      <c r="A147" t="s">
        <v>85</v>
      </c>
      <c r="B147">
        <v>680</v>
      </c>
      <c r="C147">
        <v>1071867</v>
      </c>
      <c r="D147" t="s">
        <v>260</v>
      </c>
    </row>
    <row r="148" spans="1:4" x14ac:dyDescent="0.2">
      <c r="A148" t="s">
        <v>86</v>
      </c>
      <c r="B148">
        <v>11</v>
      </c>
      <c r="C148">
        <v>9644</v>
      </c>
      <c r="D148" t="s">
        <v>260</v>
      </c>
    </row>
    <row r="149" spans="1:4" x14ac:dyDescent="0.2">
      <c r="A149" t="s">
        <v>87</v>
      </c>
      <c r="B149">
        <v>39</v>
      </c>
      <c r="C149">
        <v>52296</v>
      </c>
      <c r="D149" t="s">
        <v>260</v>
      </c>
    </row>
    <row r="150" spans="1:4" x14ac:dyDescent="0.2">
      <c r="A150" t="s">
        <v>88</v>
      </c>
      <c r="B150">
        <v>32</v>
      </c>
      <c r="C150">
        <v>43162</v>
      </c>
      <c r="D150" t="s">
        <v>260</v>
      </c>
    </row>
    <row r="151" spans="1:4" x14ac:dyDescent="0.2">
      <c r="A151" t="s">
        <v>89</v>
      </c>
      <c r="B151">
        <v>152</v>
      </c>
      <c r="C151">
        <v>57724</v>
      </c>
      <c r="D151" t="s">
        <v>260</v>
      </c>
    </row>
    <row r="152" spans="1:4" x14ac:dyDescent="0.2">
      <c r="A152" t="s">
        <v>90</v>
      </c>
      <c r="B152">
        <v>33</v>
      </c>
      <c r="C152">
        <v>7761</v>
      </c>
      <c r="D152" t="s">
        <v>260</v>
      </c>
    </row>
    <row r="153" spans="1:4" x14ac:dyDescent="0.2">
      <c r="A153" t="s">
        <v>91</v>
      </c>
      <c r="B153">
        <v>254</v>
      </c>
      <c r="C153">
        <v>249879</v>
      </c>
      <c r="D153" t="s">
        <v>260</v>
      </c>
    </row>
    <row r="154" spans="1:4" x14ac:dyDescent="0.2">
      <c r="A154" t="s">
        <v>92</v>
      </c>
      <c r="B154">
        <v>64</v>
      </c>
      <c r="C154">
        <v>15246</v>
      </c>
      <c r="D154" t="s">
        <v>260</v>
      </c>
    </row>
    <row r="155" spans="1:4" x14ac:dyDescent="0.2">
      <c r="A155" t="s">
        <v>93</v>
      </c>
      <c r="B155">
        <v>360</v>
      </c>
      <c r="C155">
        <v>976797</v>
      </c>
      <c r="D155" t="s">
        <v>260</v>
      </c>
    </row>
    <row r="156" spans="1:4" x14ac:dyDescent="0.2">
      <c r="A156" t="s">
        <v>94</v>
      </c>
      <c r="B156">
        <v>99</v>
      </c>
      <c r="C156">
        <v>309239</v>
      </c>
      <c r="D156" t="s">
        <v>260</v>
      </c>
    </row>
    <row r="157" spans="1:4" x14ac:dyDescent="0.2">
      <c r="A157" t="s">
        <v>95</v>
      </c>
      <c r="B157">
        <v>41</v>
      </c>
      <c r="C157">
        <v>126020</v>
      </c>
      <c r="D157" t="s">
        <v>260</v>
      </c>
    </row>
    <row r="158" spans="1:4" x14ac:dyDescent="0.2">
      <c r="A158" t="s">
        <v>96</v>
      </c>
      <c r="B158">
        <v>686</v>
      </c>
      <c r="C158">
        <v>2930542</v>
      </c>
      <c r="D158" t="s">
        <v>260</v>
      </c>
    </row>
    <row r="159" spans="1:4" x14ac:dyDescent="0.2">
      <c r="A159" t="s">
        <v>97</v>
      </c>
      <c r="B159">
        <v>71</v>
      </c>
      <c r="C159">
        <v>27673</v>
      </c>
      <c r="D159" t="s">
        <v>260</v>
      </c>
    </row>
    <row r="160" spans="1:4" x14ac:dyDescent="0.2">
      <c r="A160" t="s">
        <v>320</v>
      </c>
      <c r="B160">
        <v>58</v>
      </c>
      <c r="C160">
        <v>108767</v>
      </c>
      <c r="D160" t="s">
        <v>259</v>
      </c>
    </row>
    <row r="161" spans="1:4" x14ac:dyDescent="0.2">
      <c r="A161" t="s">
        <v>321</v>
      </c>
      <c r="B161">
        <v>10</v>
      </c>
      <c r="C161">
        <v>39420</v>
      </c>
      <c r="D161" t="s">
        <v>259</v>
      </c>
    </row>
    <row r="162" spans="1:4" x14ac:dyDescent="0.2">
      <c r="A162" t="s">
        <v>322</v>
      </c>
      <c r="B162">
        <v>1227</v>
      </c>
      <c r="C162">
        <v>436321</v>
      </c>
      <c r="D162" t="s">
        <v>259</v>
      </c>
    </row>
    <row r="163" spans="1:4" x14ac:dyDescent="0.2">
      <c r="A163" t="s">
        <v>323</v>
      </c>
      <c r="B163">
        <v>870</v>
      </c>
      <c r="C163">
        <v>907214</v>
      </c>
      <c r="D163" t="s">
        <v>259</v>
      </c>
    </row>
    <row r="164" spans="1:4" x14ac:dyDescent="0.2">
      <c r="A164" t="s">
        <v>98</v>
      </c>
      <c r="B164">
        <v>2414</v>
      </c>
      <c r="C164">
        <v>1753088</v>
      </c>
      <c r="D164" t="s">
        <v>260</v>
      </c>
    </row>
    <row r="165" spans="1:4" x14ac:dyDescent="0.2">
      <c r="A165" t="s">
        <v>99</v>
      </c>
      <c r="B165">
        <v>18</v>
      </c>
      <c r="C165">
        <v>23587</v>
      </c>
      <c r="D165" t="s">
        <v>260</v>
      </c>
    </row>
    <row r="166" spans="1:4" x14ac:dyDescent="0.2">
      <c r="A166" t="s">
        <v>324</v>
      </c>
      <c r="B166">
        <v>1</v>
      </c>
      <c r="C166">
        <v>11778</v>
      </c>
      <c r="D166" t="s">
        <v>259</v>
      </c>
    </row>
    <row r="167" spans="1:4" x14ac:dyDescent="0.2">
      <c r="A167" t="s">
        <v>325</v>
      </c>
      <c r="B167">
        <v>1</v>
      </c>
      <c r="C167">
        <v>64228</v>
      </c>
      <c r="D167" t="s">
        <v>259</v>
      </c>
    </row>
    <row r="168" spans="1:4" x14ac:dyDescent="0.2">
      <c r="A168" t="s">
        <v>100</v>
      </c>
      <c r="B168">
        <v>798</v>
      </c>
      <c r="C168">
        <v>1223656</v>
      </c>
      <c r="D168" t="s">
        <v>260</v>
      </c>
    </row>
    <row r="169" spans="1:4" x14ac:dyDescent="0.2">
      <c r="A169" t="s">
        <v>326</v>
      </c>
      <c r="B169">
        <v>2</v>
      </c>
      <c r="C169">
        <v>161075</v>
      </c>
      <c r="D169" t="s">
        <v>259</v>
      </c>
    </row>
    <row r="170" spans="1:4" x14ac:dyDescent="0.2">
      <c r="A170" t="s">
        <v>101</v>
      </c>
      <c r="B170">
        <v>15</v>
      </c>
      <c r="C170">
        <v>40643</v>
      </c>
      <c r="D170" t="s">
        <v>260</v>
      </c>
    </row>
    <row r="171" spans="1:4" x14ac:dyDescent="0.2">
      <c r="A171" t="s">
        <v>102</v>
      </c>
      <c r="B171">
        <v>19</v>
      </c>
      <c r="C171">
        <v>136041</v>
      </c>
      <c r="D171" t="s">
        <v>260</v>
      </c>
    </row>
    <row r="172" spans="1:4" x14ac:dyDescent="0.2">
      <c r="A172" t="s">
        <v>327</v>
      </c>
      <c r="B172">
        <v>8</v>
      </c>
      <c r="C172">
        <v>30177</v>
      </c>
      <c r="D172" t="s">
        <v>259</v>
      </c>
    </row>
    <row r="173" spans="1:4" x14ac:dyDescent="0.2">
      <c r="A173" t="s">
        <v>328</v>
      </c>
      <c r="B173">
        <v>7</v>
      </c>
      <c r="C173">
        <v>2559</v>
      </c>
      <c r="D173" t="s">
        <v>259</v>
      </c>
    </row>
    <row r="174" spans="1:4" x14ac:dyDescent="0.2">
      <c r="A174" t="s">
        <v>329</v>
      </c>
      <c r="B174">
        <v>43</v>
      </c>
      <c r="C174">
        <v>191383</v>
      </c>
      <c r="D174" t="s">
        <v>259</v>
      </c>
    </row>
    <row r="175" spans="1:4" x14ac:dyDescent="0.2">
      <c r="A175" t="s">
        <v>330</v>
      </c>
      <c r="B175">
        <v>6</v>
      </c>
      <c r="C175">
        <v>3167</v>
      </c>
      <c r="D175" t="s">
        <v>259</v>
      </c>
    </row>
    <row r="176" spans="1:4" x14ac:dyDescent="0.2">
      <c r="A176" t="s">
        <v>331</v>
      </c>
      <c r="B176">
        <v>3</v>
      </c>
      <c r="C176">
        <v>17897</v>
      </c>
      <c r="D176" t="s">
        <v>259</v>
      </c>
    </row>
    <row r="177" spans="1:4" x14ac:dyDescent="0.2">
      <c r="A177" t="s">
        <v>103</v>
      </c>
      <c r="B177">
        <v>366</v>
      </c>
      <c r="C177">
        <v>153580</v>
      </c>
      <c r="D177" t="s">
        <v>260</v>
      </c>
    </row>
    <row r="178" spans="1:4" x14ac:dyDescent="0.2">
      <c r="A178" t="s">
        <v>104</v>
      </c>
      <c r="B178">
        <v>59</v>
      </c>
      <c r="C178">
        <v>21550</v>
      </c>
      <c r="D178" t="s">
        <v>260</v>
      </c>
    </row>
    <row r="179" spans="1:4" x14ac:dyDescent="0.2">
      <c r="A179" t="s">
        <v>105</v>
      </c>
      <c r="B179">
        <v>76</v>
      </c>
      <c r="C179">
        <v>582623</v>
      </c>
      <c r="D179" t="s">
        <v>260</v>
      </c>
    </row>
    <row r="180" spans="1:4" x14ac:dyDescent="0.2">
      <c r="A180" t="s">
        <v>332</v>
      </c>
      <c r="B180">
        <v>44</v>
      </c>
      <c r="C180">
        <v>84007</v>
      </c>
      <c r="D180" t="s">
        <v>259</v>
      </c>
    </row>
    <row r="181" spans="1:4" x14ac:dyDescent="0.2">
      <c r="A181" t="s">
        <v>333</v>
      </c>
      <c r="B181">
        <v>5</v>
      </c>
      <c r="C181">
        <v>79142</v>
      </c>
      <c r="D181" t="s">
        <v>259</v>
      </c>
    </row>
    <row r="182" spans="1:4" x14ac:dyDescent="0.2">
      <c r="A182" t="s">
        <v>106</v>
      </c>
      <c r="B182">
        <v>489</v>
      </c>
      <c r="C182">
        <v>1033044</v>
      </c>
      <c r="D182" t="s">
        <v>260</v>
      </c>
    </row>
    <row r="183" spans="1:4" x14ac:dyDescent="0.2">
      <c r="A183" t="s">
        <v>107</v>
      </c>
      <c r="B183">
        <v>84</v>
      </c>
      <c r="C183">
        <v>8511</v>
      </c>
      <c r="D183" t="s">
        <v>260</v>
      </c>
    </row>
    <row r="184" spans="1:4" x14ac:dyDescent="0.2">
      <c r="A184" t="s">
        <v>108</v>
      </c>
      <c r="B184">
        <v>388</v>
      </c>
      <c r="C184">
        <v>253637</v>
      </c>
      <c r="D184" t="s">
        <v>260</v>
      </c>
    </row>
    <row r="185" spans="1:4" x14ac:dyDescent="0.2">
      <c r="A185" t="s">
        <v>109</v>
      </c>
      <c r="B185">
        <v>167</v>
      </c>
      <c r="C185">
        <v>151506</v>
      </c>
      <c r="D185" t="s">
        <v>260</v>
      </c>
    </row>
    <row r="186" spans="1:4" x14ac:dyDescent="0.2">
      <c r="A186" t="s">
        <v>110</v>
      </c>
      <c r="B186">
        <v>16</v>
      </c>
      <c r="C186">
        <v>65242</v>
      </c>
      <c r="D186" t="s">
        <v>260</v>
      </c>
    </row>
    <row r="187" spans="1:4" x14ac:dyDescent="0.2">
      <c r="A187" t="s">
        <v>111</v>
      </c>
      <c r="B187">
        <v>1006</v>
      </c>
      <c r="C187">
        <v>1280683</v>
      </c>
      <c r="D187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E0A5-07FC-424D-BF32-912BF1F8F9ED}">
  <dimension ref="A1:G114"/>
  <sheetViews>
    <sheetView topLeftCell="A93" workbookViewId="0">
      <selection sqref="A1:XFD2"/>
    </sheetView>
  </sheetViews>
  <sheetFormatPr baseColWidth="10" defaultRowHeight="16" x14ac:dyDescent="0.2"/>
  <cols>
    <col min="1" max="1" width="10.5" customWidth="1"/>
    <col min="2" max="2" width="25.83203125" customWidth="1"/>
    <col min="3" max="3" width="19.1640625" customWidth="1"/>
    <col min="4" max="4" width="17.6640625" customWidth="1"/>
    <col min="5" max="5" width="42.5" customWidth="1"/>
    <col min="6" max="6" width="74.1640625" customWidth="1"/>
    <col min="7" max="7" width="72.83203125" bestFit="1" customWidth="1"/>
  </cols>
  <sheetData>
    <row r="1" spans="1:7" x14ac:dyDescent="0.2">
      <c r="A1" s="6" t="s">
        <v>891</v>
      </c>
    </row>
    <row r="2" spans="1:7" s="8" customFormat="1" x14ac:dyDescent="0.2">
      <c r="A2" s="8" t="s">
        <v>0</v>
      </c>
      <c r="B2" s="8" t="s">
        <v>883</v>
      </c>
      <c r="C2" s="8" t="s">
        <v>884</v>
      </c>
      <c r="D2" s="8" t="s">
        <v>888</v>
      </c>
      <c r="E2" s="8" t="s">
        <v>335</v>
      </c>
      <c r="F2" s="8" t="s">
        <v>890</v>
      </c>
      <c r="G2" s="8" t="s">
        <v>336</v>
      </c>
    </row>
    <row r="3" spans="1:7" x14ac:dyDescent="0.2">
      <c r="A3" t="s">
        <v>1</v>
      </c>
      <c r="B3">
        <v>145</v>
      </c>
      <c r="C3">
        <v>684281</v>
      </c>
      <c r="D3" t="s">
        <v>617</v>
      </c>
      <c r="E3" t="s">
        <v>767</v>
      </c>
      <c r="F3" s="3" t="s">
        <v>766</v>
      </c>
      <c r="G3" t="s">
        <v>768</v>
      </c>
    </row>
    <row r="4" spans="1:7" x14ac:dyDescent="0.2">
      <c r="A4" t="s">
        <v>221</v>
      </c>
      <c r="B4">
        <v>361</v>
      </c>
      <c r="C4">
        <v>328702</v>
      </c>
      <c r="D4" t="s">
        <v>617</v>
      </c>
      <c r="E4" t="s">
        <v>569</v>
      </c>
      <c r="F4" t="s">
        <v>568</v>
      </c>
      <c r="G4" t="s">
        <v>879</v>
      </c>
    </row>
    <row r="5" spans="1:7" x14ac:dyDescent="0.2">
      <c r="A5" t="s">
        <v>2</v>
      </c>
      <c r="B5">
        <v>11</v>
      </c>
      <c r="C5">
        <v>10944</v>
      </c>
      <c r="D5" t="s">
        <v>617</v>
      </c>
      <c r="E5" t="s">
        <v>770</v>
      </c>
      <c r="F5" t="s">
        <v>769</v>
      </c>
      <c r="G5" t="s">
        <v>771</v>
      </c>
    </row>
    <row r="6" spans="1:7" x14ac:dyDescent="0.2">
      <c r="A6" t="s">
        <v>3</v>
      </c>
      <c r="B6">
        <v>108</v>
      </c>
      <c r="C6">
        <v>173356</v>
      </c>
      <c r="D6" t="s">
        <v>617</v>
      </c>
      <c r="E6" s="3" t="s">
        <v>776</v>
      </c>
      <c r="F6" t="s">
        <v>775</v>
      </c>
      <c r="G6" t="s">
        <v>777</v>
      </c>
    </row>
    <row r="7" spans="1:7" x14ac:dyDescent="0.2">
      <c r="A7" t="s">
        <v>4</v>
      </c>
      <c r="B7">
        <v>84</v>
      </c>
      <c r="C7">
        <v>48280</v>
      </c>
      <c r="D7" t="s">
        <v>617</v>
      </c>
      <c r="E7" s="3" t="s">
        <v>671</v>
      </c>
      <c r="F7" t="s">
        <v>670</v>
      </c>
      <c r="G7" t="s">
        <v>672</v>
      </c>
    </row>
    <row r="8" spans="1:7" x14ac:dyDescent="0.2">
      <c r="A8" t="s">
        <v>8</v>
      </c>
      <c r="B8">
        <v>27</v>
      </c>
      <c r="C8">
        <v>33360</v>
      </c>
      <c r="D8" t="s">
        <v>617</v>
      </c>
      <c r="E8" t="s">
        <v>735</v>
      </c>
      <c r="F8" t="s">
        <v>734</v>
      </c>
      <c r="G8" t="s">
        <v>736</v>
      </c>
    </row>
    <row r="9" spans="1:7" x14ac:dyDescent="0.2">
      <c r="A9" t="s">
        <v>10</v>
      </c>
      <c r="B9">
        <v>350</v>
      </c>
      <c r="C9">
        <v>845175</v>
      </c>
      <c r="D9" t="s">
        <v>617</v>
      </c>
      <c r="E9" s="4" t="s">
        <v>709</v>
      </c>
      <c r="F9" t="s">
        <v>708</v>
      </c>
      <c r="G9" t="s">
        <v>710</v>
      </c>
    </row>
    <row r="10" spans="1:7" x14ac:dyDescent="0.2">
      <c r="A10" t="s">
        <v>12</v>
      </c>
      <c r="B10">
        <v>127</v>
      </c>
      <c r="C10">
        <v>886505</v>
      </c>
      <c r="D10" t="s">
        <v>617</v>
      </c>
      <c r="E10" t="s">
        <v>797</v>
      </c>
      <c r="F10" t="s">
        <v>796</v>
      </c>
      <c r="G10" t="s">
        <v>798</v>
      </c>
    </row>
    <row r="11" spans="1:7" x14ac:dyDescent="0.2">
      <c r="A11" t="s">
        <v>15</v>
      </c>
      <c r="B11">
        <v>27</v>
      </c>
      <c r="C11">
        <v>41815</v>
      </c>
      <c r="D11" t="s">
        <v>617</v>
      </c>
      <c r="E11" t="s">
        <v>637</v>
      </c>
      <c r="F11" t="s">
        <v>636</v>
      </c>
      <c r="G11" t="s">
        <v>638</v>
      </c>
    </row>
    <row r="12" spans="1:7" x14ac:dyDescent="0.2">
      <c r="A12" t="s">
        <v>17</v>
      </c>
      <c r="B12">
        <v>16</v>
      </c>
      <c r="C12">
        <v>49313</v>
      </c>
      <c r="D12" t="s">
        <v>617</v>
      </c>
      <c r="E12" t="s">
        <v>773</v>
      </c>
      <c r="F12" t="s">
        <v>772</v>
      </c>
      <c r="G12" t="s">
        <v>774</v>
      </c>
    </row>
    <row r="13" spans="1:7" x14ac:dyDescent="0.2">
      <c r="A13" t="s">
        <v>18</v>
      </c>
      <c r="B13">
        <v>75</v>
      </c>
      <c r="C13">
        <v>233503</v>
      </c>
      <c r="D13" t="s">
        <v>617</v>
      </c>
      <c r="E13" t="s">
        <v>643</v>
      </c>
      <c r="F13" t="s">
        <v>642</v>
      </c>
      <c r="G13" t="s">
        <v>644</v>
      </c>
    </row>
    <row r="14" spans="1:7" x14ac:dyDescent="0.2">
      <c r="A14" t="s">
        <v>19</v>
      </c>
      <c r="B14">
        <v>21</v>
      </c>
      <c r="C14">
        <v>5781</v>
      </c>
      <c r="D14" t="s">
        <v>617</v>
      </c>
      <c r="E14" t="s">
        <v>580</v>
      </c>
      <c r="F14" t="s">
        <v>579</v>
      </c>
      <c r="G14" t="s">
        <v>581</v>
      </c>
    </row>
    <row r="15" spans="1:7" x14ac:dyDescent="0.2">
      <c r="A15" t="s">
        <v>20</v>
      </c>
      <c r="B15">
        <v>59</v>
      </c>
      <c r="C15">
        <v>262313</v>
      </c>
      <c r="D15" t="s">
        <v>617</v>
      </c>
      <c r="E15" t="s">
        <v>756</v>
      </c>
      <c r="F15" t="s">
        <v>755</v>
      </c>
      <c r="G15" t="s">
        <v>757</v>
      </c>
    </row>
    <row r="16" spans="1:7" x14ac:dyDescent="0.2">
      <c r="A16" t="s">
        <v>22</v>
      </c>
      <c r="B16">
        <v>70</v>
      </c>
      <c r="C16">
        <v>180857</v>
      </c>
      <c r="D16" t="s">
        <v>617</v>
      </c>
      <c r="E16" t="s">
        <v>668</v>
      </c>
      <c r="F16" t="s">
        <v>667</v>
      </c>
      <c r="G16" t="s">
        <v>669</v>
      </c>
    </row>
    <row r="17" spans="1:7" x14ac:dyDescent="0.2">
      <c r="A17" t="s">
        <v>24</v>
      </c>
      <c r="B17">
        <v>13</v>
      </c>
      <c r="C17">
        <v>89104</v>
      </c>
      <c r="D17" t="s">
        <v>617</v>
      </c>
      <c r="E17" t="s">
        <v>634</v>
      </c>
      <c r="F17" t="s">
        <v>633</v>
      </c>
      <c r="G17" t="s">
        <v>635</v>
      </c>
    </row>
    <row r="18" spans="1:7" x14ac:dyDescent="0.2">
      <c r="A18" t="s">
        <v>25</v>
      </c>
      <c r="B18">
        <v>37</v>
      </c>
      <c r="C18">
        <v>13017</v>
      </c>
      <c r="D18" t="s">
        <v>617</v>
      </c>
      <c r="E18" t="s">
        <v>634</v>
      </c>
      <c r="F18" t="s">
        <v>676</v>
      </c>
      <c r="G18" t="s">
        <v>677</v>
      </c>
    </row>
    <row r="19" spans="1:7" x14ac:dyDescent="0.2">
      <c r="A19" t="s">
        <v>26</v>
      </c>
      <c r="B19">
        <v>11</v>
      </c>
      <c r="C19">
        <v>27198</v>
      </c>
      <c r="D19" t="s">
        <v>617</v>
      </c>
      <c r="E19" t="s">
        <v>764</v>
      </c>
      <c r="F19" t="s">
        <v>763</v>
      </c>
      <c r="G19" t="s">
        <v>765</v>
      </c>
    </row>
    <row r="20" spans="1:7" x14ac:dyDescent="0.2">
      <c r="A20" t="s">
        <v>27</v>
      </c>
      <c r="B20">
        <v>66</v>
      </c>
      <c r="C20">
        <v>193346</v>
      </c>
      <c r="D20" t="s">
        <v>617</v>
      </c>
      <c r="E20" t="s">
        <v>729</v>
      </c>
      <c r="F20" t="s">
        <v>728</v>
      </c>
      <c r="G20" t="s">
        <v>730</v>
      </c>
    </row>
    <row r="21" spans="1:7" x14ac:dyDescent="0.2">
      <c r="A21" t="s">
        <v>28</v>
      </c>
      <c r="B21">
        <v>103</v>
      </c>
      <c r="C21">
        <v>266395</v>
      </c>
      <c r="D21" t="s">
        <v>617</v>
      </c>
      <c r="E21" t="s">
        <v>569</v>
      </c>
      <c r="F21" t="s">
        <v>678</v>
      </c>
      <c r="G21" t="s">
        <v>679</v>
      </c>
    </row>
    <row r="22" spans="1:7" x14ac:dyDescent="0.2">
      <c r="A22" t="s">
        <v>29</v>
      </c>
      <c r="B22">
        <v>32</v>
      </c>
      <c r="C22">
        <v>11670</v>
      </c>
      <c r="D22" t="s">
        <v>617</v>
      </c>
      <c r="E22" t="s">
        <v>569</v>
      </c>
      <c r="F22" t="s">
        <v>625</v>
      </c>
      <c r="G22" t="s">
        <v>626</v>
      </c>
    </row>
    <row r="23" spans="1:7" x14ac:dyDescent="0.2">
      <c r="A23" t="s">
        <v>31</v>
      </c>
      <c r="B23">
        <v>11</v>
      </c>
      <c r="C23">
        <v>31729</v>
      </c>
      <c r="D23" t="s">
        <v>617</v>
      </c>
      <c r="E23" s="3" t="s">
        <v>604</v>
      </c>
      <c r="F23" t="s">
        <v>603</v>
      </c>
      <c r="G23" t="s">
        <v>605</v>
      </c>
    </row>
    <row r="24" spans="1:7" x14ac:dyDescent="0.2">
      <c r="A24" t="s">
        <v>32</v>
      </c>
      <c r="B24">
        <v>35</v>
      </c>
      <c r="C24">
        <v>124548</v>
      </c>
      <c r="D24" t="s">
        <v>617</v>
      </c>
      <c r="E24" t="s">
        <v>759</v>
      </c>
      <c r="F24" t="s">
        <v>758</v>
      </c>
      <c r="G24" t="s">
        <v>757</v>
      </c>
    </row>
    <row r="25" spans="1:7" x14ac:dyDescent="0.2">
      <c r="A25" t="s">
        <v>33</v>
      </c>
      <c r="B25">
        <v>12</v>
      </c>
      <c r="C25">
        <v>160379</v>
      </c>
      <c r="D25" t="s">
        <v>617</v>
      </c>
      <c r="E25" t="s">
        <v>694</v>
      </c>
      <c r="F25" t="s">
        <v>693</v>
      </c>
      <c r="G25" t="s">
        <v>695</v>
      </c>
    </row>
    <row r="26" spans="1:7" x14ac:dyDescent="0.2">
      <c r="A26" t="s">
        <v>35</v>
      </c>
      <c r="B26">
        <v>39</v>
      </c>
      <c r="C26">
        <v>114107</v>
      </c>
      <c r="D26" t="s">
        <v>617</v>
      </c>
      <c r="E26" t="s">
        <v>646</v>
      </c>
      <c r="F26" t="s">
        <v>645</v>
      </c>
      <c r="G26" t="s">
        <v>647</v>
      </c>
    </row>
    <row r="27" spans="1:7" x14ac:dyDescent="0.2">
      <c r="A27" t="s">
        <v>36</v>
      </c>
      <c r="B27">
        <v>47</v>
      </c>
      <c r="C27">
        <v>266805</v>
      </c>
      <c r="D27" t="s">
        <v>617</v>
      </c>
      <c r="E27" s="3" t="s">
        <v>640</v>
      </c>
      <c r="F27" t="s">
        <v>639</v>
      </c>
      <c r="G27" t="s">
        <v>641</v>
      </c>
    </row>
    <row r="28" spans="1:7" x14ac:dyDescent="0.2">
      <c r="A28" t="s">
        <v>39</v>
      </c>
      <c r="B28">
        <v>18</v>
      </c>
      <c r="C28">
        <v>559908</v>
      </c>
      <c r="D28" t="s">
        <v>617</v>
      </c>
      <c r="E28" s="3" t="s">
        <v>649</v>
      </c>
      <c r="F28" t="s">
        <v>648</v>
      </c>
      <c r="G28" t="s">
        <v>650</v>
      </c>
    </row>
    <row r="29" spans="1:7" x14ac:dyDescent="0.2">
      <c r="A29" t="s">
        <v>42</v>
      </c>
      <c r="B29">
        <v>70</v>
      </c>
      <c r="C29">
        <v>229777</v>
      </c>
      <c r="D29" t="s">
        <v>617</v>
      </c>
      <c r="E29" t="s">
        <v>720</v>
      </c>
      <c r="F29" t="s">
        <v>719</v>
      </c>
      <c r="G29" t="s">
        <v>721</v>
      </c>
    </row>
    <row r="30" spans="1:7" x14ac:dyDescent="0.2">
      <c r="A30" t="s">
        <v>44</v>
      </c>
      <c r="B30">
        <v>37</v>
      </c>
      <c r="C30">
        <v>286981</v>
      </c>
      <c r="D30" t="s">
        <v>617</v>
      </c>
      <c r="E30" t="s">
        <v>732</v>
      </c>
      <c r="F30" t="s">
        <v>731</v>
      </c>
      <c r="G30" t="s">
        <v>733</v>
      </c>
    </row>
    <row r="31" spans="1:7" x14ac:dyDescent="0.2">
      <c r="A31" t="s">
        <v>46</v>
      </c>
      <c r="B31">
        <v>512</v>
      </c>
      <c r="C31">
        <v>873876</v>
      </c>
      <c r="D31" t="s">
        <v>617</v>
      </c>
      <c r="E31" t="s">
        <v>674</v>
      </c>
      <c r="F31" t="s">
        <v>673</v>
      </c>
      <c r="G31" t="s">
        <v>675</v>
      </c>
    </row>
    <row r="32" spans="1:7" x14ac:dyDescent="0.2">
      <c r="A32" t="s">
        <v>47</v>
      </c>
      <c r="B32">
        <v>133</v>
      </c>
      <c r="C32">
        <v>283399</v>
      </c>
      <c r="D32" t="s">
        <v>617</v>
      </c>
      <c r="E32" t="s">
        <v>712</v>
      </c>
      <c r="F32" t="s">
        <v>711</v>
      </c>
      <c r="G32" t="s">
        <v>713</v>
      </c>
    </row>
    <row r="33" spans="1:7" x14ac:dyDescent="0.2">
      <c r="A33" t="s">
        <v>49</v>
      </c>
      <c r="B33">
        <v>17</v>
      </c>
      <c r="C33">
        <v>58704</v>
      </c>
      <c r="D33" t="s">
        <v>617</v>
      </c>
      <c r="E33" t="s">
        <v>598</v>
      </c>
      <c r="F33" t="s">
        <v>597</v>
      </c>
      <c r="G33" t="s">
        <v>599</v>
      </c>
    </row>
    <row r="34" spans="1:7" x14ac:dyDescent="0.2">
      <c r="A34" t="s">
        <v>50</v>
      </c>
      <c r="B34">
        <v>573</v>
      </c>
      <c r="C34">
        <v>894590</v>
      </c>
      <c r="D34" t="s">
        <v>617</v>
      </c>
      <c r="E34" t="s">
        <v>726</v>
      </c>
      <c r="F34" t="s">
        <v>725</v>
      </c>
      <c r="G34" t="s">
        <v>727</v>
      </c>
    </row>
    <row r="35" spans="1:7" x14ac:dyDescent="0.2">
      <c r="A35" t="s">
        <v>51</v>
      </c>
      <c r="B35">
        <v>4617</v>
      </c>
      <c r="C35">
        <v>1162426</v>
      </c>
      <c r="D35" t="s">
        <v>617</v>
      </c>
      <c r="E35" t="s">
        <v>744</v>
      </c>
      <c r="F35" t="s">
        <v>743</v>
      </c>
      <c r="G35" t="s">
        <v>745</v>
      </c>
    </row>
    <row r="36" spans="1:7" x14ac:dyDescent="0.2">
      <c r="A36" t="s">
        <v>54</v>
      </c>
      <c r="B36">
        <v>62</v>
      </c>
      <c r="C36">
        <v>425534</v>
      </c>
      <c r="D36" t="s">
        <v>617</v>
      </c>
      <c r="E36" t="s">
        <v>715</v>
      </c>
      <c r="F36" t="s">
        <v>714</v>
      </c>
      <c r="G36" t="s">
        <v>716</v>
      </c>
    </row>
    <row r="37" spans="1:7" x14ac:dyDescent="0.2">
      <c r="A37" t="s">
        <v>55</v>
      </c>
      <c r="B37">
        <v>23</v>
      </c>
      <c r="C37">
        <v>51129</v>
      </c>
      <c r="D37" t="s">
        <v>617</v>
      </c>
      <c r="E37" t="s">
        <v>703</v>
      </c>
      <c r="F37" t="s">
        <v>702</v>
      </c>
      <c r="G37" t="s">
        <v>704</v>
      </c>
    </row>
    <row r="38" spans="1:7" x14ac:dyDescent="0.2">
      <c r="A38" t="s">
        <v>56</v>
      </c>
      <c r="B38">
        <v>414</v>
      </c>
      <c r="C38">
        <v>1290115</v>
      </c>
      <c r="D38" t="s">
        <v>617</v>
      </c>
      <c r="E38" t="s">
        <v>747</v>
      </c>
      <c r="F38" t="s">
        <v>746</v>
      </c>
      <c r="G38" t="s">
        <v>748</v>
      </c>
    </row>
    <row r="39" spans="1:7" x14ac:dyDescent="0.2">
      <c r="A39" t="s">
        <v>57</v>
      </c>
      <c r="B39">
        <v>499</v>
      </c>
      <c r="C39">
        <v>764461</v>
      </c>
      <c r="D39" t="s">
        <v>617</v>
      </c>
      <c r="E39" t="s">
        <v>779</v>
      </c>
      <c r="F39" t="s">
        <v>778</v>
      </c>
      <c r="G39" t="s">
        <v>780</v>
      </c>
    </row>
    <row r="40" spans="1:7" x14ac:dyDescent="0.2">
      <c r="A40" t="s">
        <v>58</v>
      </c>
      <c r="B40">
        <v>85</v>
      </c>
      <c r="C40">
        <v>74780</v>
      </c>
      <c r="D40" t="s">
        <v>617</v>
      </c>
      <c r="E40" s="3" t="s">
        <v>616</v>
      </c>
      <c r="F40" t="s">
        <v>615</v>
      </c>
      <c r="G40" t="s">
        <v>618</v>
      </c>
    </row>
    <row r="41" spans="1:7" x14ac:dyDescent="0.2">
      <c r="A41" t="s">
        <v>59</v>
      </c>
      <c r="B41">
        <v>51</v>
      </c>
      <c r="C41">
        <v>42097</v>
      </c>
      <c r="D41" t="s">
        <v>617</v>
      </c>
      <c r="E41" t="s">
        <v>718</v>
      </c>
      <c r="F41" t="s">
        <v>717</v>
      </c>
      <c r="G41" t="s">
        <v>716</v>
      </c>
    </row>
    <row r="42" spans="1:7" x14ac:dyDescent="0.2">
      <c r="A42" t="s">
        <v>60</v>
      </c>
      <c r="B42">
        <v>582</v>
      </c>
      <c r="C42">
        <v>952485</v>
      </c>
      <c r="D42" t="s">
        <v>617</v>
      </c>
      <c r="E42" s="3" t="s">
        <v>741</v>
      </c>
      <c r="F42" t="s">
        <v>740</v>
      </c>
      <c r="G42" t="s">
        <v>742</v>
      </c>
    </row>
    <row r="43" spans="1:7" x14ac:dyDescent="0.2">
      <c r="A43" t="s">
        <v>62</v>
      </c>
      <c r="B43">
        <v>53</v>
      </c>
      <c r="C43">
        <v>19268</v>
      </c>
      <c r="D43" t="s">
        <v>617</v>
      </c>
      <c r="E43" t="s">
        <v>782</v>
      </c>
      <c r="F43" t="s">
        <v>781</v>
      </c>
      <c r="G43" t="s">
        <v>783</v>
      </c>
    </row>
    <row r="44" spans="1:7" x14ac:dyDescent="0.2">
      <c r="A44" t="s">
        <v>63</v>
      </c>
      <c r="B44">
        <v>33</v>
      </c>
      <c r="C44">
        <v>23854</v>
      </c>
      <c r="D44" t="s">
        <v>617</v>
      </c>
      <c r="E44" t="s">
        <v>750</v>
      </c>
      <c r="F44" t="s">
        <v>749</v>
      </c>
      <c r="G44" t="s">
        <v>751</v>
      </c>
    </row>
    <row r="45" spans="1:7" x14ac:dyDescent="0.2">
      <c r="A45" t="s">
        <v>64</v>
      </c>
      <c r="B45">
        <v>195</v>
      </c>
      <c r="C45">
        <v>89263</v>
      </c>
      <c r="D45" t="s">
        <v>617</v>
      </c>
      <c r="E45" t="s">
        <v>623</v>
      </c>
      <c r="F45" t="s">
        <v>622</v>
      </c>
      <c r="G45" t="s">
        <v>624</v>
      </c>
    </row>
    <row r="46" spans="1:7" x14ac:dyDescent="0.2">
      <c r="A46" t="s">
        <v>65</v>
      </c>
      <c r="B46">
        <v>186</v>
      </c>
      <c r="C46">
        <v>19395</v>
      </c>
      <c r="D46" t="s">
        <v>617</v>
      </c>
      <c r="E46" t="s">
        <v>753</v>
      </c>
      <c r="F46" t="s">
        <v>752</v>
      </c>
      <c r="G46" t="s">
        <v>754</v>
      </c>
    </row>
    <row r="47" spans="1:7" x14ac:dyDescent="0.2">
      <c r="A47" t="s">
        <v>67</v>
      </c>
      <c r="B47">
        <v>810</v>
      </c>
      <c r="C47">
        <v>1516961</v>
      </c>
      <c r="D47" t="s">
        <v>617</v>
      </c>
      <c r="E47" t="s">
        <v>794</v>
      </c>
      <c r="F47" t="s">
        <v>793</v>
      </c>
      <c r="G47" t="s">
        <v>795</v>
      </c>
    </row>
    <row r="48" spans="1:7" x14ac:dyDescent="0.2">
      <c r="A48" t="s">
        <v>68</v>
      </c>
      <c r="B48">
        <v>244</v>
      </c>
      <c r="C48">
        <v>231194</v>
      </c>
      <c r="D48" t="s">
        <v>617</v>
      </c>
      <c r="E48" s="3" t="s">
        <v>658</v>
      </c>
      <c r="F48" t="s">
        <v>657</v>
      </c>
      <c r="G48" t="s">
        <v>659</v>
      </c>
    </row>
    <row r="49" spans="1:7" x14ac:dyDescent="0.2">
      <c r="A49" t="s">
        <v>70</v>
      </c>
      <c r="B49">
        <v>182</v>
      </c>
      <c r="C49">
        <v>196264</v>
      </c>
      <c r="D49" t="s">
        <v>617</v>
      </c>
      <c r="E49" s="3" t="s">
        <v>788</v>
      </c>
      <c r="F49" t="s">
        <v>787</v>
      </c>
      <c r="G49" t="s">
        <v>789</v>
      </c>
    </row>
    <row r="50" spans="1:7" x14ac:dyDescent="0.2">
      <c r="A50" t="s">
        <v>72</v>
      </c>
      <c r="B50">
        <v>22</v>
      </c>
      <c r="C50">
        <v>32892</v>
      </c>
      <c r="D50" t="s">
        <v>617</v>
      </c>
      <c r="E50" t="s">
        <v>791</v>
      </c>
      <c r="F50" t="s">
        <v>790</v>
      </c>
      <c r="G50" t="s">
        <v>792</v>
      </c>
    </row>
    <row r="51" spans="1:7" x14ac:dyDescent="0.2">
      <c r="A51" t="s">
        <v>73</v>
      </c>
      <c r="B51">
        <v>115</v>
      </c>
      <c r="C51">
        <v>113619</v>
      </c>
      <c r="D51" t="s">
        <v>617</v>
      </c>
      <c r="E51" t="s">
        <v>706</v>
      </c>
      <c r="F51" t="s">
        <v>705</v>
      </c>
      <c r="G51" t="s">
        <v>707</v>
      </c>
    </row>
    <row r="52" spans="1:7" x14ac:dyDescent="0.2">
      <c r="A52" t="s">
        <v>76</v>
      </c>
      <c r="B52">
        <v>1052</v>
      </c>
      <c r="C52">
        <v>1029451</v>
      </c>
      <c r="D52" t="s">
        <v>617</v>
      </c>
      <c r="E52" t="s">
        <v>738</v>
      </c>
      <c r="F52" t="s">
        <v>737</v>
      </c>
      <c r="G52" t="s">
        <v>739</v>
      </c>
    </row>
    <row r="53" spans="1:7" x14ac:dyDescent="0.2">
      <c r="A53" t="s">
        <v>77</v>
      </c>
      <c r="B53">
        <v>62</v>
      </c>
      <c r="C53">
        <v>232873</v>
      </c>
      <c r="D53" t="s">
        <v>617</v>
      </c>
      <c r="E53" t="s">
        <v>655</v>
      </c>
      <c r="F53" t="s">
        <v>654</v>
      </c>
      <c r="G53" t="s">
        <v>656</v>
      </c>
    </row>
    <row r="54" spans="1:7" x14ac:dyDescent="0.2">
      <c r="A54" t="s">
        <v>78</v>
      </c>
      <c r="B54">
        <v>44</v>
      </c>
      <c r="C54">
        <v>34411</v>
      </c>
      <c r="D54" t="s">
        <v>617</v>
      </c>
      <c r="E54" t="s">
        <v>688</v>
      </c>
      <c r="F54" t="s">
        <v>687</v>
      </c>
      <c r="G54" t="s">
        <v>689</v>
      </c>
    </row>
    <row r="55" spans="1:7" x14ac:dyDescent="0.2">
      <c r="A55" t="s">
        <v>79</v>
      </c>
      <c r="B55">
        <v>1397</v>
      </c>
      <c r="C55">
        <v>108988</v>
      </c>
      <c r="D55" t="s">
        <v>617</v>
      </c>
      <c r="E55" t="s">
        <v>664</v>
      </c>
      <c r="F55" t="s">
        <v>663</v>
      </c>
      <c r="G55" t="s">
        <v>666</v>
      </c>
    </row>
    <row r="56" spans="1:7" x14ac:dyDescent="0.2">
      <c r="A56" t="s">
        <v>80</v>
      </c>
      <c r="B56">
        <v>51</v>
      </c>
      <c r="C56">
        <v>5020</v>
      </c>
      <c r="D56" t="s">
        <v>617</v>
      </c>
      <c r="E56" t="s">
        <v>664</v>
      </c>
      <c r="F56" t="s">
        <v>663</v>
      </c>
      <c r="G56" t="s">
        <v>665</v>
      </c>
    </row>
    <row r="57" spans="1:7" x14ac:dyDescent="0.2">
      <c r="A57" t="s">
        <v>81</v>
      </c>
      <c r="B57">
        <v>96</v>
      </c>
      <c r="C57">
        <v>65334</v>
      </c>
      <c r="D57" t="s">
        <v>617</v>
      </c>
      <c r="E57" s="3" t="s">
        <v>592</v>
      </c>
      <c r="F57" t="s">
        <v>591</v>
      </c>
      <c r="G57" t="s">
        <v>593</v>
      </c>
    </row>
    <row r="58" spans="1:7" x14ac:dyDescent="0.2">
      <c r="A58" t="s">
        <v>82</v>
      </c>
      <c r="B58">
        <v>17</v>
      </c>
      <c r="C58">
        <v>29643</v>
      </c>
      <c r="D58" t="s">
        <v>617</v>
      </c>
      <c r="E58" t="s">
        <v>785</v>
      </c>
      <c r="F58" t="s">
        <v>784</v>
      </c>
      <c r="G58" t="s">
        <v>786</v>
      </c>
    </row>
    <row r="59" spans="1:7" x14ac:dyDescent="0.2">
      <c r="A59" t="s">
        <v>85</v>
      </c>
      <c r="B59">
        <v>680</v>
      </c>
      <c r="C59">
        <v>1071867</v>
      </c>
      <c r="D59" t="s">
        <v>617</v>
      </c>
      <c r="E59" t="s">
        <v>691</v>
      </c>
      <c r="F59" t="s">
        <v>690</v>
      </c>
      <c r="G59" t="s">
        <v>692</v>
      </c>
    </row>
    <row r="60" spans="1:7" x14ac:dyDescent="0.2">
      <c r="A60" t="s">
        <v>86</v>
      </c>
      <c r="B60">
        <v>11</v>
      </c>
      <c r="C60">
        <v>9644</v>
      </c>
      <c r="D60" t="s">
        <v>617</v>
      </c>
      <c r="E60" t="s">
        <v>631</v>
      </c>
      <c r="F60" t="s">
        <v>630</v>
      </c>
      <c r="G60" t="s">
        <v>632</v>
      </c>
    </row>
    <row r="61" spans="1:7" x14ac:dyDescent="0.2">
      <c r="A61" t="s">
        <v>87</v>
      </c>
      <c r="B61">
        <v>39</v>
      </c>
      <c r="C61">
        <v>52296</v>
      </c>
      <c r="D61" t="s">
        <v>617</v>
      </c>
      <c r="E61" t="s">
        <v>697</v>
      </c>
      <c r="F61" t="s">
        <v>696</v>
      </c>
      <c r="G61" t="s">
        <v>698</v>
      </c>
    </row>
    <row r="62" spans="1:7" x14ac:dyDescent="0.2">
      <c r="A62" t="s">
        <v>89</v>
      </c>
      <c r="B62">
        <v>152</v>
      </c>
      <c r="C62">
        <v>57724</v>
      </c>
      <c r="D62" t="s">
        <v>617</v>
      </c>
      <c r="E62" s="3" t="s">
        <v>681</v>
      </c>
      <c r="F62" t="s">
        <v>680</v>
      </c>
      <c r="G62" t="s">
        <v>682</v>
      </c>
    </row>
    <row r="63" spans="1:7" x14ac:dyDescent="0.2">
      <c r="A63" t="s">
        <v>90</v>
      </c>
      <c r="B63">
        <v>33</v>
      </c>
      <c r="C63">
        <v>7761</v>
      </c>
      <c r="D63" t="s">
        <v>617</v>
      </c>
      <c r="E63" s="3" t="s">
        <v>723</v>
      </c>
      <c r="F63" t="s">
        <v>722</v>
      </c>
      <c r="G63" t="s">
        <v>724</v>
      </c>
    </row>
    <row r="64" spans="1:7" x14ac:dyDescent="0.2">
      <c r="A64" t="s">
        <v>91</v>
      </c>
      <c r="B64">
        <v>254</v>
      </c>
      <c r="C64">
        <v>249879</v>
      </c>
      <c r="D64" t="s">
        <v>617</v>
      </c>
      <c r="E64" s="3" t="s">
        <v>700</v>
      </c>
      <c r="F64" t="s">
        <v>699</v>
      </c>
      <c r="G64" t="s">
        <v>701</v>
      </c>
    </row>
    <row r="65" spans="1:7" x14ac:dyDescent="0.2">
      <c r="A65" t="s">
        <v>93</v>
      </c>
      <c r="B65">
        <v>360</v>
      </c>
      <c r="C65">
        <v>976797</v>
      </c>
      <c r="D65" t="s">
        <v>617</v>
      </c>
      <c r="E65" t="s">
        <v>684</v>
      </c>
      <c r="F65" t="s">
        <v>686</v>
      </c>
      <c r="G65" t="s">
        <v>685</v>
      </c>
    </row>
    <row r="66" spans="1:7" x14ac:dyDescent="0.2">
      <c r="A66" t="s">
        <v>95</v>
      </c>
      <c r="B66">
        <v>41</v>
      </c>
      <c r="C66">
        <v>126020</v>
      </c>
      <c r="D66" t="s">
        <v>617</v>
      </c>
      <c r="E66" t="s">
        <v>684</v>
      </c>
      <c r="F66" t="s">
        <v>683</v>
      </c>
      <c r="G66" t="s">
        <v>685</v>
      </c>
    </row>
    <row r="67" spans="1:7" x14ac:dyDescent="0.2">
      <c r="A67" t="s">
        <v>96</v>
      </c>
      <c r="B67">
        <v>686</v>
      </c>
      <c r="C67">
        <v>2930542</v>
      </c>
      <c r="D67" t="s">
        <v>617</v>
      </c>
      <c r="E67" t="s">
        <v>761</v>
      </c>
      <c r="F67" t="s">
        <v>760</v>
      </c>
      <c r="G67" t="s">
        <v>762</v>
      </c>
    </row>
    <row r="68" spans="1:7" x14ac:dyDescent="0.2">
      <c r="A68" t="s">
        <v>97</v>
      </c>
      <c r="B68">
        <v>71</v>
      </c>
      <c r="C68">
        <v>27673</v>
      </c>
      <c r="D68" t="s">
        <v>617</v>
      </c>
      <c r="E68" t="s">
        <v>628</v>
      </c>
      <c r="F68" t="s">
        <v>627</v>
      </c>
      <c r="G68" t="s">
        <v>629</v>
      </c>
    </row>
    <row r="69" spans="1:7" x14ac:dyDescent="0.2">
      <c r="A69" t="s">
        <v>100</v>
      </c>
      <c r="B69">
        <v>798</v>
      </c>
      <c r="C69">
        <v>1223656</v>
      </c>
      <c r="D69" t="s">
        <v>617</v>
      </c>
      <c r="E69" s="3" t="s">
        <v>661</v>
      </c>
      <c r="F69" t="s">
        <v>660</v>
      </c>
      <c r="G69" t="s">
        <v>662</v>
      </c>
    </row>
    <row r="70" spans="1:7" x14ac:dyDescent="0.2">
      <c r="A70" t="s">
        <v>101</v>
      </c>
      <c r="B70">
        <v>15</v>
      </c>
      <c r="C70">
        <v>40643</v>
      </c>
      <c r="D70" t="s">
        <v>617</v>
      </c>
      <c r="E70" t="s">
        <v>803</v>
      </c>
      <c r="F70" t="s">
        <v>802</v>
      </c>
      <c r="G70" t="s">
        <v>804</v>
      </c>
    </row>
    <row r="71" spans="1:7" x14ac:dyDescent="0.2">
      <c r="A71" t="s">
        <v>102</v>
      </c>
      <c r="B71">
        <v>19</v>
      </c>
      <c r="C71">
        <v>136041</v>
      </c>
      <c r="D71" t="s">
        <v>617</v>
      </c>
      <c r="E71" t="s">
        <v>566</v>
      </c>
      <c r="F71" t="s">
        <v>565</v>
      </c>
      <c r="G71" t="s">
        <v>567</v>
      </c>
    </row>
    <row r="72" spans="1:7" x14ac:dyDescent="0.2">
      <c r="A72" t="s">
        <v>105</v>
      </c>
      <c r="B72">
        <v>76</v>
      </c>
      <c r="C72">
        <v>582623</v>
      </c>
      <c r="D72" t="s">
        <v>617</v>
      </c>
      <c r="E72" t="s">
        <v>652</v>
      </c>
      <c r="F72" t="s">
        <v>651</v>
      </c>
      <c r="G72" t="s">
        <v>653</v>
      </c>
    </row>
    <row r="73" spans="1:7" x14ac:dyDescent="0.2">
      <c r="A73" t="s">
        <v>108</v>
      </c>
      <c r="B73">
        <v>388</v>
      </c>
      <c r="C73">
        <v>253637</v>
      </c>
      <c r="D73" t="s">
        <v>617</v>
      </c>
      <c r="E73" t="s">
        <v>620</v>
      </c>
      <c r="F73" t="s">
        <v>619</v>
      </c>
      <c r="G73" t="s">
        <v>621</v>
      </c>
    </row>
    <row r="74" spans="1:7" s="7" customFormat="1" x14ac:dyDescent="0.2">
      <c r="A74" s="7" t="s">
        <v>110</v>
      </c>
      <c r="B74" s="7">
        <v>16</v>
      </c>
      <c r="C74" s="7">
        <v>65242</v>
      </c>
      <c r="D74" s="7" t="s">
        <v>617</v>
      </c>
      <c r="E74" s="7" t="s">
        <v>800</v>
      </c>
      <c r="F74" s="7" t="s">
        <v>799</v>
      </c>
      <c r="G74" s="7" t="s">
        <v>801</v>
      </c>
    </row>
    <row r="75" spans="1:7" x14ac:dyDescent="0.2">
      <c r="A75" t="s">
        <v>5</v>
      </c>
      <c r="B75">
        <v>1440</v>
      </c>
      <c r="C75">
        <v>850886</v>
      </c>
      <c r="D75" t="s">
        <v>807</v>
      </c>
      <c r="E75" t="s">
        <v>607</v>
      </c>
      <c r="F75" t="s">
        <v>606</v>
      </c>
      <c r="G75" t="s">
        <v>608</v>
      </c>
    </row>
    <row r="76" spans="1:7" x14ac:dyDescent="0.2">
      <c r="A76" t="s">
        <v>6</v>
      </c>
      <c r="B76">
        <v>43</v>
      </c>
      <c r="C76">
        <v>34560</v>
      </c>
      <c r="D76" t="s">
        <v>807</v>
      </c>
      <c r="E76" t="s">
        <v>577</v>
      </c>
      <c r="F76" t="s">
        <v>576</v>
      </c>
      <c r="G76" t="s">
        <v>578</v>
      </c>
    </row>
    <row r="77" spans="1:7" x14ac:dyDescent="0.2">
      <c r="A77" t="s">
        <v>7</v>
      </c>
      <c r="B77">
        <v>183</v>
      </c>
      <c r="C77">
        <v>318753</v>
      </c>
      <c r="D77" t="s">
        <v>807</v>
      </c>
      <c r="E77" s="3" t="s">
        <v>825</v>
      </c>
      <c r="F77" t="s">
        <v>824</v>
      </c>
      <c r="G77" t="s">
        <v>826</v>
      </c>
    </row>
    <row r="78" spans="1:7" x14ac:dyDescent="0.2">
      <c r="A78" t="s">
        <v>9</v>
      </c>
      <c r="B78">
        <v>618</v>
      </c>
      <c r="C78">
        <v>771575</v>
      </c>
      <c r="D78" t="s">
        <v>807</v>
      </c>
      <c r="E78" t="s">
        <v>595</v>
      </c>
      <c r="F78" t="s">
        <v>594</v>
      </c>
      <c r="G78" t="s">
        <v>596</v>
      </c>
    </row>
    <row r="79" spans="1:7" x14ac:dyDescent="0.2">
      <c r="A79" t="s">
        <v>11</v>
      </c>
      <c r="B79">
        <v>72</v>
      </c>
      <c r="C79">
        <v>7311</v>
      </c>
      <c r="D79" t="s">
        <v>807</v>
      </c>
      <c r="E79" t="s">
        <v>868</v>
      </c>
      <c r="F79" t="s">
        <v>867</v>
      </c>
      <c r="G79" t="s">
        <v>869</v>
      </c>
    </row>
    <row r="80" spans="1:7" x14ac:dyDescent="0.2">
      <c r="A80" t="s">
        <v>13</v>
      </c>
      <c r="B80">
        <v>44</v>
      </c>
      <c r="C80">
        <v>57052</v>
      </c>
      <c r="D80" t="s">
        <v>807</v>
      </c>
      <c r="E80" t="s">
        <v>813</v>
      </c>
      <c r="F80" t="s">
        <v>812</v>
      </c>
      <c r="G80" t="s">
        <v>814</v>
      </c>
    </row>
    <row r="81" spans="1:7" x14ac:dyDescent="0.2">
      <c r="A81" t="s">
        <v>14</v>
      </c>
      <c r="B81">
        <v>260</v>
      </c>
      <c r="C81">
        <v>174059</v>
      </c>
      <c r="D81" t="s">
        <v>807</v>
      </c>
      <c r="E81" t="s">
        <v>839</v>
      </c>
      <c r="F81" t="s">
        <v>838</v>
      </c>
      <c r="G81" t="s">
        <v>840</v>
      </c>
    </row>
    <row r="82" spans="1:7" x14ac:dyDescent="0.2">
      <c r="A82" t="s">
        <v>16</v>
      </c>
      <c r="B82">
        <v>93</v>
      </c>
      <c r="C82">
        <v>24555</v>
      </c>
      <c r="D82" t="s">
        <v>807</v>
      </c>
      <c r="E82" s="3" t="s">
        <v>871</v>
      </c>
      <c r="F82" t="s">
        <v>870</v>
      </c>
      <c r="G82" t="s">
        <v>872</v>
      </c>
    </row>
    <row r="83" spans="1:7" x14ac:dyDescent="0.2">
      <c r="A83" t="s">
        <v>21</v>
      </c>
      <c r="B83">
        <v>127</v>
      </c>
      <c r="C83">
        <v>29973</v>
      </c>
      <c r="D83" t="s">
        <v>807</v>
      </c>
      <c r="E83" t="s">
        <v>874</v>
      </c>
      <c r="F83" t="s">
        <v>873</v>
      </c>
      <c r="G83" t="s">
        <v>875</v>
      </c>
    </row>
    <row r="84" spans="1:7" x14ac:dyDescent="0.2">
      <c r="A84" t="s">
        <v>23</v>
      </c>
      <c r="B84">
        <v>51</v>
      </c>
      <c r="C84">
        <v>3671</v>
      </c>
      <c r="D84" t="s">
        <v>807</v>
      </c>
      <c r="E84" t="s">
        <v>833</v>
      </c>
      <c r="F84" t="s">
        <v>832</v>
      </c>
      <c r="G84" t="s">
        <v>834</v>
      </c>
    </row>
    <row r="85" spans="1:7" x14ac:dyDescent="0.2">
      <c r="A85" t="s">
        <v>30</v>
      </c>
      <c r="B85">
        <v>48</v>
      </c>
      <c r="C85">
        <v>13254</v>
      </c>
      <c r="D85" t="s">
        <v>807</v>
      </c>
      <c r="E85" t="s">
        <v>877</v>
      </c>
      <c r="F85" t="s">
        <v>876</v>
      </c>
      <c r="G85" t="s">
        <v>878</v>
      </c>
    </row>
    <row r="86" spans="1:7" x14ac:dyDescent="0.2">
      <c r="A86" t="s">
        <v>34</v>
      </c>
      <c r="B86">
        <v>489</v>
      </c>
      <c r="C86">
        <v>1309812</v>
      </c>
      <c r="D86" t="s">
        <v>807</v>
      </c>
      <c r="E86" t="s">
        <v>610</v>
      </c>
      <c r="F86" t="s">
        <v>609</v>
      </c>
      <c r="G86" t="s">
        <v>611</v>
      </c>
    </row>
    <row r="87" spans="1:7" x14ac:dyDescent="0.2">
      <c r="A87" t="s">
        <v>37</v>
      </c>
      <c r="B87">
        <v>111</v>
      </c>
      <c r="C87">
        <v>7991</v>
      </c>
      <c r="D87" t="s">
        <v>807</v>
      </c>
      <c r="E87" t="s">
        <v>865</v>
      </c>
      <c r="F87" t="s">
        <v>864</v>
      </c>
      <c r="G87" t="s">
        <v>866</v>
      </c>
    </row>
    <row r="88" spans="1:7" x14ac:dyDescent="0.2">
      <c r="A88" t="s">
        <v>38</v>
      </c>
      <c r="B88">
        <v>312</v>
      </c>
      <c r="C88">
        <v>721662</v>
      </c>
      <c r="D88" t="s">
        <v>807</v>
      </c>
      <c r="E88" t="s">
        <v>601</v>
      </c>
      <c r="F88" t="s">
        <v>600</v>
      </c>
      <c r="G88" t="s">
        <v>602</v>
      </c>
    </row>
    <row r="89" spans="1:7" x14ac:dyDescent="0.2">
      <c r="A89" t="s">
        <v>40</v>
      </c>
      <c r="B89">
        <v>132</v>
      </c>
      <c r="C89">
        <v>173729</v>
      </c>
      <c r="D89" t="s">
        <v>807</v>
      </c>
      <c r="E89" t="s">
        <v>810</v>
      </c>
      <c r="F89" t="s">
        <v>809</v>
      </c>
      <c r="G89" t="s">
        <v>811</v>
      </c>
    </row>
    <row r="90" spans="1:7" x14ac:dyDescent="0.2">
      <c r="A90" t="s">
        <v>41</v>
      </c>
      <c r="B90">
        <v>59</v>
      </c>
      <c r="C90">
        <v>262091</v>
      </c>
      <c r="D90" t="s">
        <v>807</v>
      </c>
      <c r="E90" t="s">
        <v>563</v>
      </c>
      <c r="F90" t="s">
        <v>562</v>
      </c>
      <c r="G90" t="s">
        <v>564</v>
      </c>
    </row>
    <row r="91" spans="1:7" x14ac:dyDescent="0.2">
      <c r="A91" t="s">
        <v>43</v>
      </c>
      <c r="B91">
        <v>123</v>
      </c>
      <c r="C91">
        <v>45559</v>
      </c>
      <c r="D91" t="s">
        <v>807</v>
      </c>
      <c r="E91" s="3" t="s">
        <v>862</v>
      </c>
      <c r="F91" t="s">
        <v>861</v>
      </c>
      <c r="G91" t="s">
        <v>863</v>
      </c>
    </row>
    <row r="92" spans="1:7" x14ac:dyDescent="0.2">
      <c r="A92" t="s">
        <v>45</v>
      </c>
      <c r="B92">
        <v>98</v>
      </c>
      <c r="C92">
        <v>10055</v>
      </c>
      <c r="D92" t="s">
        <v>807</v>
      </c>
      <c r="E92" t="s">
        <v>844</v>
      </c>
      <c r="F92" t="s">
        <v>440</v>
      </c>
      <c r="G92" t="s">
        <v>845</v>
      </c>
    </row>
    <row r="93" spans="1:7" x14ac:dyDescent="0.2">
      <c r="A93" t="s">
        <v>48</v>
      </c>
      <c r="B93">
        <v>53</v>
      </c>
      <c r="C93">
        <v>98965</v>
      </c>
      <c r="D93" t="s">
        <v>807</v>
      </c>
      <c r="E93" t="s">
        <v>583</v>
      </c>
      <c r="F93" t="s">
        <v>582</v>
      </c>
      <c r="G93" t="s">
        <v>584</v>
      </c>
    </row>
    <row r="94" spans="1:7" x14ac:dyDescent="0.2">
      <c r="A94" t="s">
        <v>52</v>
      </c>
      <c r="B94">
        <v>28</v>
      </c>
      <c r="C94">
        <v>69192</v>
      </c>
      <c r="D94" t="s">
        <v>807</v>
      </c>
      <c r="E94" t="s">
        <v>806</v>
      </c>
      <c r="F94" t="s">
        <v>805</v>
      </c>
      <c r="G94" t="s">
        <v>808</v>
      </c>
    </row>
    <row r="95" spans="1:7" x14ac:dyDescent="0.2">
      <c r="A95" t="s">
        <v>53</v>
      </c>
      <c r="B95">
        <v>76</v>
      </c>
      <c r="C95">
        <v>22590</v>
      </c>
      <c r="D95" t="s">
        <v>807</v>
      </c>
      <c r="E95" t="s">
        <v>847</v>
      </c>
      <c r="F95" t="s">
        <v>846</v>
      </c>
      <c r="G95" t="s">
        <v>848</v>
      </c>
    </row>
    <row r="96" spans="1:7" x14ac:dyDescent="0.2">
      <c r="A96" t="s">
        <v>61</v>
      </c>
      <c r="B96">
        <v>366</v>
      </c>
      <c r="C96">
        <v>456971</v>
      </c>
      <c r="D96" t="s">
        <v>807</v>
      </c>
      <c r="E96" s="3" t="s">
        <v>850</v>
      </c>
      <c r="F96" t="s">
        <v>849</v>
      </c>
      <c r="G96" t="s">
        <v>851</v>
      </c>
    </row>
    <row r="97" spans="1:7" x14ac:dyDescent="0.2">
      <c r="A97" t="s">
        <v>66</v>
      </c>
      <c r="B97">
        <v>101</v>
      </c>
      <c r="C97">
        <v>9101</v>
      </c>
      <c r="D97" t="s">
        <v>807</v>
      </c>
      <c r="E97" s="3" t="s">
        <v>856</v>
      </c>
      <c r="F97" t="s">
        <v>855</v>
      </c>
      <c r="G97" t="s">
        <v>857</v>
      </c>
    </row>
    <row r="98" spans="1:7" x14ac:dyDescent="0.2">
      <c r="A98" t="s">
        <v>69</v>
      </c>
      <c r="B98">
        <v>112</v>
      </c>
      <c r="C98">
        <v>506710</v>
      </c>
      <c r="D98" t="s">
        <v>807</v>
      </c>
      <c r="E98" t="s">
        <v>816</v>
      </c>
      <c r="F98" t="s">
        <v>815</v>
      </c>
      <c r="G98" t="s">
        <v>814</v>
      </c>
    </row>
    <row r="99" spans="1:7" x14ac:dyDescent="0.2">
      <c r="A99" t="s">
        <v>71</v>
      </c>
      <c r="B99">
        <v>15</v>
      </c>
      <c r="C99">
        <v>47473</v>
      </c>
      <c r="D99" t="s">
        <v>807</v>
      </c>
      <c r="E99" s="3" t="s">
        <v>828</v>
      </c>
      <c r="F99" t="s">
        <v>827</v>
      </c>
      <c r="G99" t="s">
        <v>829</v>
      </c>
    </row>
    <row r="100" spans="1:7" x14ac:dyDescent="0.2">
      <c r="A100" t="s">
        <v>74</v>
      </c>
      <c r="B100">
        <v>15</v>
      </c>
      <c r="C100">
        <v>47156</v>
      </c>
      <c r="D100" t="s">
        <v>807</v>
      </c>
      <c r="E100" t="s">
        <v>586</v>
      </c>
      <c r="F100" t="s">
        <v>585</v>
      </c>
      <c r="G100" t="s">
        <v>584</v>
      </c>
    </row>
    <row r="101" spans="1:7" x14ac:dyDescent="0.2">
      <c r="A101" t="s">
        <v>75</v>
      </c>
      <c r="B101">
        <v>28</v>
      </c>
      <c r="C101">
        <v>3144</v>
      </c>
      <c r="D101" t="s">
        <v>807</v>
      </c>
      <c r="E101" t="s">
        <v>859</v>
      </c>
      <c r="F101" t="s">
        <v>858</v>
      </c>
      <c r="G101" t="s">
        <v>860</v>
      </c>
    </row>
    <row r="102" spans="1:7" x14ac:dyDescent="0.2">
      <c r="A102" t="s">
        <v>83</v>
      </c>
      <c r="B102">
        <v>265</v>
      </c>
      <c r="C102">
        <v>483158</v>
      </c>
      <c r="D102" t="s">
        <v>807</v>
      </c>
      <c r="E102" t="s">
        <v>818</v>
      </c>
      <c r="F102" t="s">
        <v>817</v>
      </c>
      <c r="G102" t="s">
        <v>814</v>
      </c>
    </row>
    <row r="103" spans="1:7" x14ac:dyDescent="0.2">
      <c r="A103" t="s">
        <v>84</v>
      </c>
      <c r="B103">
        <v>89</v>
      </c>
      <c r="C103">
        <v>114299</v>
      </c>
      <c r="D103" t="s">
        <v>807</v>
      </c>
      <c r="E103" s="3" t="s">
        <v>820</v>
      </c>
      <c r="F103" t="s">
        <v>819</v>
      </c>
      <c r="G103" t="s">
        <v>814</v>
      </c>
    </row>
    <row r="104" spans="1:7" x14ac:dyDescent="0.2">
      <c r="A104" t="s">
        <v>88</v>
      </c>
      <c r="B104">
        <v>32</v>
      </c>
      <c r="C104">
        <v>43162</v>
      </c>
      <c r="D104" t="s">
        <v>807</v>
      </c>
      <c r="E104" t="s">
        <v>588</v>
      </c>
      <c r="F104" t="s">
        <v>587</v>
      </c>
      <c r="G104" t="s">
        <v>584</v>
      </c>
    </row>
    <row r="105" spans="1:7" x14ac:dyDescent="0.2">
      <c r="A105" t="s">
        <v>92</v>
      </c>
      <c r="B105">
        <v>64</v>
      </c>
      <c r="C105">
        <v>15246</v>
      </c>
      <c r="D105" t="s">
        <v>807</v>
      </c>
      <c r="E105" t="s">
        <v>836</v>
      </c>
      <c r="F105" t="s">
        <v>835</v>
      </c>
      <c r="G105" t="s">
        <v>837</v>
      </c>
    </row>
    <row r="106" spans="1:7" x14ac:dyDescent="0.2">
      <c r="A106" t="s">
        <v>94</v>
      </c>
      <c r="B106">
        <v>99</v>
      </c>
      <c r="C106">
        <v>309239</v>
      </c>
      <c r="D106" t="s">
        <v>807</v>
      </c>
      <c r="E106" t="s">
        <v>571</v>
      </c>
      <c r="F106" t="s">
        <v>570</v>
      </c>
      <c r="G106" t="s">
        <v>572</v>
      </c>
    </row>
    <row r="107" spans="1:7" x14ac:dyDescent="0.2">
      <c r="A107" t="s">
        <v>98</v>
      </c>
      <c r="B107">
        <v>2414</v>
      </c>
      <c r="C107">
        <v>1753088</v>
      </c>
      <c r="D107" t="s">
        <v>807</v>
      </c>
      <c r="E107" t="s">
        <v>842</v>
      </c>
      <c r="F107" t="s">
        <v>841</v>
      </c>
      <c r="G107" t="s">
        <v>843</v>
      </c>
    </row>
    <row r="108" spans="1:7" x14ac:dyDescent="0.2">
      <c r="A108" t="s">
        <v>99</v>
      </c>
      <c r="B108">
        <v>18</v>
      </c>
      <c r="C108">
        <v>23587</v>
      </c>
      <c r="D108" t="s">
        <v>807</v>
      </c>
      <c r="E108" t="s">
        <v>590</v>
      </c>
      <c r="F108" t="s">
        <v>589</v>
      </c>
      <c r="G108" t="s">
        <v>584</v>
      </c>
    </row>
    <row r="109" spans="1:7" x14ac:dyDescent="0.2">
      <c r="A109" t="s">
        <v>103</v>
      </c>
      <c r="B109">
        <v>366</v>
      </c>
      <c r="C109">
        <v>153580</v>
      </c>
      <c r="D109" t="s">
        <v>807</v>
      </c>
      <c r="E109" t="s">
        <v>613</v>
      </c>
      <c r="F109" t="s">
        <v>612</v>
      </c>
      <c r="G109" t="s">
        <v>614</v>
      </c>
    </row>
    <row r="110" spans="1:7" x14ac:dyDescent="0.2">
      <c r="A110" t="s">
        <v>104</v>
      </c>
      <c r="B110">
        <v>59</v>
      </c>
      <c r="C110">
        <v>21550</v>
      </c>
      <c r="D110" t="s">
        <v>807</v>
      </c>
      <c r="E110" t="s">
        <v>574</v>
      </c>
      <c r="F110" t="s">
        <v>573</v>
      </c>
      <c r="G110" t="s">
        <v>575</v>
      </c>
    </row>
    <row r="111" spans="1:7" x14ac:dyDescent="0.2">
      <c r="A111" t="s">
        <v>106</v>
      </c>
      <c r="B111">
        <v>489</v>
      </c>
      <c r="C111">
        <v>1033044</v>
      </c>
      <c r="D111" t="s">
        <v>807</v>
      </c>
      <c r="E111" t="s">
        <v>822</v>
      </c>
      <c r="F111" t="s">
        <v>821</v>
      </c>
      <c r="G111" t="s">
        <v>814</v>
      </c>
    </row>
    <row r="112" spans="1:7" x14ac:dyDescent="0.2">
      <c r="A112" t="s">
        <v>107</v>
      </c>
      <c r="B112">
        <v>84</v>
      </c>
      <c r="C112">
        <v>8511</v>
      </c>
      <c r="D112" t="s">
        <v>807</v>
      </c>
      <c r="E112" t="s">
        <v>853</v>
      </c>
      <c r="F112" t="s">
        <v>852</v>
      </c>
      <c r="G112" t="s">
        <v>854</v>
      </c>
    </row>
    <row r="113" spans="1:7" x14ac:dyDescent="0.2">
      <c r="A113" t="s">
        <v>109</v>
      </c>
      <c r="B113">
        <v>167</v>
      </c>
      <c r="C113">
        <v>151506</v>
      </c>
      <c r="D113" t="s">
        <v>807</v>
      </c>
      <c r="E113" t="s">
        <v>822</v>
      </c>
      <c r="F113" t="s">
        <v>823</v>
      </c>
      <c r="G113" t="s">
        <v>814</v>
      </c>
    </row>
    <row r="114" spans="1:7" x14ac:dyDescent="0.2">
      <c r="A114" t="s">
        <v>111</v>
      </c>
      <c r="B114">
        <v>1006</v>
      </c>
      <c r="C114">
        <v>1280683</v>
      </c>
      <c r="D114" t="s">
        <v>807</v>
      </c>
      <c r="E114" t="s">
        <v>822</v>
      </c>
      <c r="F114" t="s">
        <v>830</v>
      </c>
      <c r="G114" t="s">
        <v>831</v>
      </c>
    </row>
  </sheetData>
  <sortState xmlns:xlrd2="http://schemas.microsoft.com/office/spreadsheetml/2017/richdata2" ref="A4:G114">
    <sortCondition ref="D4:D114"/>
    <sortCondition ref="A4:A114"/>
  </sortState>
  <hyperlinks>
    <hyperlink ref="F3" r:id="rId1" location="aep-article-footnote-id4" display="https://www.sciencedirect.com/science/article/pii/S1874391915300105?via%3Dihub - aep-article-footnote-id4" xr:uid="{4EE3F30A-5ADC-FF42-90F5-0B4FD83F9143}"/>
    <hyperlink ref="E6" r:id="rId2" xr:uid="{274F55CE-A6DE-6440-89B2-2960CA811D0C}"/>
    <hyperlink ref="E7" r:id="rId3" tooltip="Persistent link using digital object identifier" xr:uid="{269DB838-E5D2-524E-9D4B-1090FE2ADEF2}"/>
    <hyperlink ref="E27" r:id="rId4" tooltip="Link to landing page via DOI" display="https://doi.org/10.1039/C9MO00136K" xr:uid="{653345B5-A374-DA45-81AF-69066A45DE8A}"/>
    <hyperlink ref="E28" r:id="rId5" display="https://doi.org/10.3389%2Ffmicb.2022.881535" xr:uid="{003605AD-1DF3-E84C-AE42-FC42218D37AA}"/>
    <hyperlink ref="E91" r:id="rId6" tooltip="Persistent link using digital object identifier" xr:uid="{9AD4F630-A15C-7E43-9326-065BF7E61B85}"/>
    <hyperlink ref="E42" r:id="rId7" xr:uid="{020A0E09-ECB4-CD4D-86CF-2F010C80BED1}"/>
    <hyperlink ref="E96" r:id="rId8" tooltip="Persistent link using digital object identifier" xr:uid="{8E109CD6-9784-374C-BDAE-35D54F7D8A9F}"/>
    <hyperlink ref="E97" r:id="rId9" xr:uid="{BE7FF56C-010D-9C43-970D-6260DC0C09A9}"/>
    <hyperlink ref="E48" r:id="rId10" xr:uid="{D526BB6E-201E-5F4B-BF3C-76D470F4AC01}"/>
    <hyperlink ref="E49" r:id="rId11" xr:uid="{C6A98B1C-0BB2-B84F-BDB6-C6EFDCEB3C09}"/>
    <hyperlink ref="E99" r:id="rId12" tooltip="DOI URL" xr:uid="{5D37ECD3-3B71-1849-B79B-59FCFA734179}"/>
    <hyperlink ref="E57" r:id="rId13" xr:uid="{9D81263D-649E-BC45-9454-F960548288E9}"/>
    <hyperlink ref="E103" r:id="rId14" tooltip="Persistent link using digital object identifier" xr:uid="{19BEECC3-EA3D-574C-A7C8-EF123B44C98B}"/>
    <hyperlink ref="E62" r:id="rId15" tooltip="Persistent link using digital object identifier" xr:uid="{60CD3F99-3B51-4847-AE26-FB7FAA51EA0F}"/>
    <hyperlink ref="E63" r:id="rId16" xr:uid="{F2076FE5-B252-904A-AE9B-E9A15C48B2F8}"/>
    <hyperlink ref="E64" r:id="rId17" xr:uid="{F1177A67-2ACA-4543-AE94-056E171EF64A}"/>
    <hyperlink ref="E69" r:id="rId18" xr:uid="{E999E406-F801-F145-B27C-10896CA74FD3}"/>
    <hyperlink ref="E82" r:id="rId19" display="https://doi.org/10.15252/embr.201643353" xr:uid="{C3A61B68-508C-674B-858A-D0842E2B03EA}"/>
    <hyperlink ref="E23" r:id="rId20" tooltip="DOI URL" xr:uid="{7F5D4586-40D7-684F-90B9-4A3672786D40}"/>
    <hyperlink ref="E77" r:id="rId21" display="https://doi.org/10.1074/mcp.m115.054288" xr:uid="{D95F0CA4-A9F4-8143-9831-3B8727872E55}"/>
    <hyperlink ref="E40" r:id="rId22" xr:uid="{804448A8-5DD1-E643-A698-1C66BDB59F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D4DB-5C6F-D44A-9088-682CBBA1CB72}">
  <dimension ref="A1:C79"/>
  <sheetViews>
    <sheetView topLeftCell="A37" workbookViewId="0">
      <selection sqref="A1:XFD2"/>
    </sheetView>
  </sheetViews>
  <sheetFormatPr baseColWidth="10" defaultRowHeight="16" x14ac:dyDescent="0.2"/>
  <cols>
    <col min="1" max="1" width="10.33203125" bestFit="1" customWidth="1"/>
    <col min="2" max="2" width="25.1640625" bestFit="1" customWidth="1"/>
    <col min="3" max="3" width="17.33203125" bestFit="1" customWidth="1"/>
    <col min="4" max="4" width="10.83203125" customWidth="1"/>
  </cols>
  <sheetData>
    <row r="1" spans="1:3" s="6" customFormat="1" x14ac:dyDescent="0.2">
      <c r="A1" s="6" t="s">
        <v>892</v>
      </c>
    </row>
    <row r="2" spans="1:3" x14ac:dyDescent="0.2">
      <c r="A2" s="8" t="s">
        <v>0</v>
      </c>
      <c r="B2" s="8" t="s">
        <v>883</v>
      </c>
      <c r="C2" s="8" t="s">
        <v>884</v>
      </c>
    </row>
    <row r="3" spans="1:3" x14ac:dyDescent="0.2">
      <c r="A3" t="s">
        <v>1</v>
      </c>
      <c r="B3">
        <v>145</v>
      </c>
      <c r="C3">
        <v>684281</v>
      </c>
    </row>
    <row r="4" spans="1:3" x14ac:dyDescent="0.2">
      <c r="A4" t="s">
        <v>221</v>
      </c>
      <c r="B4">
        <v>361</v>
      </c>
      <c r="C4">
        <v>328702</v>
      </c>
    </row>
    <row r="5" spans="1:3" x14ac:dyDescent="0.2">
      <c r="A5" t="s">
        <v>2</v>
      </c>
      <c r="B5">
        <v>11</v>
      </c>
      <c r="C5">
        <v>10944</v>
      </c>
    </row>
    <row r="6" spans="1:3" x14ac:dyDescent="0.2">
      <c r="A6" t="s">
        <v>3</v>
      </c>
      <c r="B6">
        <v>108</v>
      </c>
      <c r="C6">
        <v>173356</v>
      </c>
    </row>
    <row r="7" spans="1:3" x14ac:dyDescent="0.2">
      <c r="A7" t="s">
        <v>4</v>
      </c>
      <c r="B7">
        <v>84</v>
      </c>
      <c r="C7">
        <v>48280</v>
      </c>
    </row>
    <row r="8" spans="1:3" x14ac:dyDescent="0.2">
      <c r="A8" t="s">
        <v>8</v>
      </c>
      <c r="B8">
        <v>27</v>
      </c>
      <c r="C8">
        <v>33360</v>
      </c>
    </row>
    <row r="9" spans="1:3" x14ac:dyDescent="0.2">
      <c r="A9" t="s">
        <v>10</v>
      </c>
      <c r="B9">
        <v>350</v>
      </c>
      <c r="C9">
        <v>845175</v>
      </c>
    </row>
    <row r="10" spans="1:3" x14ac:dyDescent="0.2">
      <c r="A10" t="s">
        <v>12</v>
      </c>
      <c r="B10">
        <v>127</v>
      </c>
      <c r="C10">
        <v>886505</v>
      </c>
    </row>
    <row r="11" spans="1:3" x14ac:dyDescent="0.2">
      <c r="A11" t="s">
        <v>15</v>
      </c>
      <c r="B11">
        <v>27</v>
      </c>
      <c r="C11">
        <v>41815</v>
      </c>
    </row>
    <row r="12" spans="1:3" x14ac:dyDescent="0.2">
      <c r="A12" t="s">
        <v>17</v>
      </c>
      <c r="B12">
        <v>16</v>
      </c>
      <c r="C12">
        <v>49313</v>
      </c>
    </row>
    <row r="13" spans="1:3" x14ac:dyDescent="0.2">
      <c r="A13" t="s">
        <v>18</v>
      </c>
      <c r="B13">
        <v>75</v>
      </c>
      <c r="C13">
        <v>233503</v>
      </c>
    </row>
    <row r="14" spans="1:3" x14ac:dyDescent="0.2">
      <c r="A14" t="s">
        <v>19</v>
      </c>
      <c r="B14">
        <v>21</v>
      </c>
      <c r="C14">
        <v>5781</v>
      </c>
    </row>
    <row r="15" spans="1:3" x14ac:dyDescent="0.2">
      <c r="A15" t="s">
        <v>20</v>
      </c>
      <c r="B15">
        <v>59</v>
      </c>
      <c r="C15">
        <v>262313</v>
      </c>
    </row>
    <row r="16" spans="1:3" x14ac:dyDescent="0.2">
      <c r="A16" t="s">
        <v>22</v>
      </c>
      <c r="B16">
        <v>70</v>
      </c>
      <c r="C16">
        <v>180857</v>
      </c>
    </row>
    <row r="17" spans="1:3" x14ac:dyDescent="0.2">
      <c r="A17" t="s">
        <v>24</v>
      </c>
      <c r="B17">
        <v>13</v>
      </c>
      <c r="C17">
        <v>89104</v>
      </c>
    </row>
    <row r="18" spans="1:3" x14ac:dyDescent="0.2">
      <c r="A18" t="s">
        <v>25</v>
      </c>
      <c r="B18">
        <v>37</v>
      </c>
      <c r="C18">
        <v>13017</v>
      </c>
    </row>
    <row r="19" spans="1:3" x14ac:dyDescent="0.2">
      <c r="A19" t="s">
        <v>26</v>
      </c>
      <c r="B19">
        <v>11</v>
      </c>
      <c r="C19">
        <v>27198</v>
      </c>
    </row>
    <row r="20" spans="1:3" x14ac:dyDescent="0.2">
      <c r="A20" t="s">
        <v>27</v>
      </c>
      <c r="B20">
        <v>66</v>
      </c>
      <c r="C20">
        <v>193346</v>
      </c>
    </row>
    <row r="21" spans="1:3" x14ac:dyDescent="0.2">
      <c r="A21" t="s">
        <v>28</v>
      </c>
      <c r="B21">
        <v>103</v>
      </c>
      <c r="C21">
        <v>266395</v>
      </c>
    </row>
    <row r="22" spans="1:3" x14ac:dyDescent="0.2">
      <c r="A22" t="s">
        <v>29</v>
      </c>
      <c r="B22">
        <v>32</v>
      </c>
      <c r="C22">
        <v>11670</v>
      </c>
    </row>
    <row r="23" spans="1:3" x14ac:dyDescent="0.2">
      <c r="A23" t="s">
        <v>31</v>
      </c>
      <c r="B23">
        <v>11</v>
      </c>
      <c r="C23">
        <v>31729</v>
      </c>
    </row>
    <row r="24" spans="1:3" x14ac:dyDescent="0.2">
      <c r="A24" t="s">
        <v>32</v>
      </c>
      <c r="B24">
        <v>35</v>
      </c>
      <c r="C24">
        <v>124548</v>
      </c>
    </row>
    <row r="25" spans="1:3" x14ac:dyDescent="0.2">
      <c r="A25" t="s">
        <v>33</v>
      </c>
      <c r="B25">
        <v>12</v>
      </c>
      <c r="C25">
        <v>160379</v>
      </c>
    </row>
    <row r="26" spans="1:3" x14ac:dyDescent="0.2">
      <c r="A26" t="s">
        <v>35</v>
      </c>
      <c r="B26">
        <v>39</v>
      </c>
      <c r="C26">
        <v>114107</v>
      </c>
    </row>
    <row r="27" spans="1:3" x14ac:dyDescent="0.2">
      <c r="A27" t="s">
        <v>36</v>
      </c>
      <c r="B27">
        <v>47</v>
      </c>
      <c r="C27">
        <v>266805</v>
      </c>
    </row>
    <row r="28" spans="1:3" x14ac:dyDescent="0.2">
      <c r="A28" t="s">
        <v>39</v>
      </c>
      <c r="B28">
        <v>18</v>
      </c>
      <c r="C28">
        <v>559908</v>
      </c>
    </row>
    <row r="29" spans="1:3" x14ac:dyDescent="0.2">
      <c r="A29" t="s">
        <v>42</v>
      </c>
      <c r="B29">
        <v>70</v>
      </c>
      <c r="C29">
        <v>229777</v>
      </c>
    </row>
    <row r="30" spans="1:3" x14ac:dyDescent="0.2">
      <c r="A30" t="s">
        <v>44</v>
      </c>
      <c r="B30">
        <v>37</v>
      </c>
      <c r="C30">
        <v>286981</v>
      </c>
    </row>
    <row r="31" spans="1:3" x14ac:dyDescent="0.2">
      <c r="A31" t="s">
        <v>46</v>
      </c>
      <c r="B31">
        <v>512</v>
      </c>
      <c r="C31">
        <v>873876</v>
      </c>
    </row>
    <row r="32" spans="1:3" x14ac:dyDescent="0.2">
      <c r="A32" t="s">
        <v>47</v>
      </c>
      <c r="B32">
        <v>133</v>
      </c>
      <c r="C32">
        <v>283399</v>
      </c>
    </row>
    <row r="33" spans="1:3" x14ac:dyDescent="0.2">
      <c r="A33" t="s">
        <v>49</v>
      </c>
      <c r="B33">
        <v>17</v>
      </c>
      <c r="C33">
        <v>58704</v>
      </c>
    </row>
    <row r="34" spans="1:3" x14ac:dyDescent="0.2">
      <c r="A34" t="s">
        <v>50</v>
      </c>
      <c r="B34">
        <v>573</v>
      </c>
      <c r="C34">
        <v>894590</v>
      </c>
    </row>
    <row r="35" spans="1:3" x14ac:dyDescent="0.2">
      <c r="A35" t="s">
        <v>51</v>
      </c>
      <c r="B35">
        <v>4617</v>
      </c>
      <c r="C35">
        <v>1162426</v>
      </c>
    </row>
    <row r="36" spans="1:3" x14ac:dyDescent="0.2">
      <c r="A36" t="s">
        <v>54</v>
      </c>
      <c r="B36">
        <v>62</v>
      </c>
      <c r="C36">
        <v>425534</v>
      </c>
    </row>
    <row r="37" spans="1:3" x14ac:dyDescent="0.2">
      <c r="A37" t="s">
        <v>55</v>
      </c>
      <c r="B37">
        <v>23</v>
      </c>
      <c r="C37">
        <v>51129</v>
      </c>
    </row>
    <row r="38" spans="1:3" x14ac:dyDescent="0.2">
      <c r="A38" t="s">
        <v>56</v>
      </c>
      <c r="B38">
        <v>414</v>
      </c>
      <c r="C38">
        <v>1290115</v>
      </c>
    </row>
    <row r="39" spans="1:3" x14ac:dyDescent="0.2">
      <c r="A39" t="s">
        <v>57</v>
      </c>
      <c r="B39">
        <v>499</v>
      </c>
      <c r="C39">
        <v>764461</v>
      </c>
    </row>
    <row r="40" spans="1:3" x14ac:dyDescent="0.2">
      <c r="A40" t="s">
        <v>58</v>
      </c>
      <c r="B40">
        <v>85</v>
      </c>
      <c r="C40">
        <v>74780</v>
      </c>
    </row>
    <row r="41" spans="1:3" x14ac:dyDescent="0.2">
      <c r="A41" t="s">
        <v>59</v>
      </c>
      <c r="B41">
        <v>51</v>
      </c>
      <c r="C41">
        <v>42097</v>
      </c>
    </row>
    <row r="42" spans="1:3" x14ac:dyDescent="0.2">
      <c r="A42" t="s">
        <v>60</v>
      </c>
      <c r="B42">
        <v>582</v>
      </c>
      <c r="C42">
        <v>952485</v>
      </c>
    </row>
    <row r="43" spans="1:3" x14ac:dyDescent="0.2">
      <c r="A43" t="s">
        <v>62</v>
      </c>
      <c r="B43">
        <v>53</v>
      </c>
      <c r="C43">
        <v>19268</v>
      </c>
    </row>
    <row r="44" spans="1:3" x14ac:dyDescent="0.2">
      <c r="A44" t="s">
        <v>63</v>
      </c>
      <c r="B44">
        <v>33</v>
      </c>
      <c r="C44">
        <v>23854</v>
      </c>
    </row>
    <row r="45" spans="1:3" x14ac:dyDescent="0.2">
      <c r="A45" t="s">
        <v>64</v>
      </c>
      <c r="B45">
        <v>195</v>
      </c>
      <c r="C45">
        <v>89263</v>
      </c>
    </row>
    <row r="46" spans="1:3" x14ac:dyDescent="0.2">
      <c r="A46" t="s">
        <v>65</v>
      </c>
      <c r="B46">
        <v>186</v>
      </c>
      <c r="C46">
        <v>19395</v>
      </c>
    </row>
    <row r="47" spans="1:3" x14ac:dyDescent="0.2">
      <c r="A47" t="s">
        <v>67</v>
      </c>
      <c r="B47">
        <v>810</v>
      </c>
      <c r="C47">
        <v>1516961</v>
      </c>
    </row>
    <row r="48" spans="1:3" x14ac:dyDescent="0.2">
      <c r="A48" t="s">
        <v>68</v>
      </c>
      <c r="B48">
        <v>244</v>
      </c>
      <c r="C48">
        <v>231194</v>
      </c>
    </row>
    <row r="49" spans="1:3" x14ac:dyDescent="0.2">
      <c r="A49" t="s">
        <v>70</v>
      </c>
      <c r="B49">
        <v>182</v>
      </c>
      <c r="C49">
        <v>196264</v>
      </c>
    </row>
    <row r="50" spans="1:3" x14ac:dyDescent="0.2">
      <c r="A50" t="s">
        <v>72</v>
      </c>
      <c r="B50">
        <v>22</v>
      </c>
      <c r="C50">
        <v>32892</v>
      </c>
    </row>
    <row r="51" spans="1:3" x14ac:dyDescent="0.2">
      <c r="A51" t="s">
        <v>73</v>
      </c>
      <c r="B51">
        <v>115</v>
      </c>
      <c r="C51">
        <v>113619</v>
      </c>
    </row>
    <row r="52" spans="1:3" x14ac:dyDescent="0.2">
      <c r="A52" t="s">
        <v>76</v>
      </c>
      <c r="B52">
        <v>1052</v>
      </c>
      <c r="C52">
        <v>1029451</v>
      </c>
    </row>
    <row r="53" spans="1:3" x14ac:dyDescent="0.2">
      <c r="A53" t="s">
        <v>77</v>
      </c>
      <c r="B53">
        <v>62</v>
      </c>
      <c r="C53">
        <v>232873</v>
      </c>
    </row>
    <row r="54" spans="1:3" x14ac:dyDescent="0.2">
      <c r="A54" t="s">
        <v>78</v>
      </c>
      <c r="B54">
        <v>44</v>
      </c>
      <c r="C54">
        <v>34411</v>
      </c>
    </row>
    <row r="55" spans="1:3" x14ac:dyDescent="0.2">
      <c r="A55" t="s">
        <v>79</v>
      </c>
      <c r="B55">
        <v>1397</v>
      </c>
      <c r="C55">
        <v>108988</v>
      </c>
    </row>
    <row r="56" spans="1:3" x14ac:dyDescent="0.2">
      <c r="A56" t="s">
        <v>80</v>
      </c>
      <c r="B56">
        <v>51</v>
      </c>
      <c r="C56">
        <v>5020</v>
      </c>
    </row>
    <row r="57" spans="1:3" x14ac:dyDescent="0.2">
      <c r="A57" t="s">
        <v>81</v>
      </c>
      <c r="B57">
        <v>96</v>
      </c>
      <c r="C57">
        <v>65334</v>
      </c>
    </row>
    <row r="58" spans="1:3" x14ac:dyDescent="0.2">
      <c r="A58" t="s">
        <v>82</v>
      </c>
      <c r="B58">
        <v>17</v>
      </c>
      <c r="C58">
        <v>29643</v>
      </c>
    </row>
    <row r="59" spans="1:3" x14ac:dyDescent="0.2">
      <c r="A59" t="s">
        <v>85</v>
      </c>
      <c r="B59">
        <v>680</v>
      </c>
      <c r="C59">
        <v>1071867</v>
      </c>
    </row>
    <row r="60" spans="1:3" x14ac:dyDescent="0.2">
      <c r="A60" t="s">
        <v>86</v>
      </c>
      <c r="B60">
        <v>11</v>
      </c>
      <c r="C60">
        <v>9644</v>
      </c>
    </row>
    <row r="61" spans="1:3" x14ac:dyDescent="0.2">
      <c r="A61" t="s">
        <v>87</v>
      </c>
      <c r="B61">
        <v>39</v>
      </c>
      <c r="C61">
        <v>52296</v>
      </c>
    </row>
    <row r="62" spans="1:3" x14ac:dyDescent="0.2">
      <c r="A62" t="s">
        <v>89</v>
      </c>
      <c r="B62">
        <v>152</v>
      </c>
      <c r="C62">
        <v>57724</v>
      </c>
    </row>
    <row r="63" spans="1:3" x14ac:dyDescent="0.2">
      <c r="A63" t="s">
        <v>90</v>
      </c>
      <c r="B63">
        <v>33</v>
      </c>
      <c r="C63">
        <v>7761</v>
      </c>
    </row>
    <row r="64" spans="1:3" x14ac:dyDescent="0.2">
      <c r="A64" t="s">
        <v>91</v>
      </c>
      <c r="B64">
        <v>254</v>
      </c>
      <c r="C64">
        <v>249879</v>
      </c>
    </row>
    <row r="65" spans="1:3" x14ac:dyDescent="0.2">
      <c r="A65" t="s">
        <v>93</v>
      </c>
      <c r="B65">
        <v>360</v>
      </c>
      <c r="C65">
        <v>976797</v>
      </c>
    </row>
    <row r="66" spans="1:3" x14ac:dyDescent="0.2">
      <c r="A66" t="s">
        <v>95</v>
      </c>
      <c r="B66">
        <v>41</v>
      </c>
      <c r="C66">
        <v>126020</v>
      </c>
    </row>
    <row r="67" spans="1:3" x14ac:dyDescent="0.2">
      <c r="A67" t="s">
        <v>96</v>
      </c>
      <c r="B67">
        <v>686</v>
      </c>
      <c r="C67">
        <v>2930542</v>
      </c>
    </row>
    <row r="68" spans="1:3" x14ac:dyDescent="0.2">
      <c r="A68" t="s">
        <v>97</v>
      </c>
      <c r="B68">
        <v>71</v>
      </c>
      <c r="C68">
        <v>27673</v>
      </c>
    </row>
    <row r="69" spans="1:3" x14ac:dyDescent="0.2">
      <c r="A69" t="s">
        <v>100</v>
      </c>
      <c r="B69">
        <v>798</v>
      </c>
      <c r="C69">
        <v>1223656</v>
      </c>
    </row>
    <row r="70" spans="1:3" x14ac:dyDescent="0.2">
      <c r="A70" t="s">
        <v>101</v>
      </c>
      <c r="B70">
        <v>15</v>
      </c>
      <c r="C70">
        <v>40643</v>
      </c>
    </row>
    <row r="71" spans="1:3" x14ac:dyDescent="0.2">
      <c r="A71" t="s">
        <v>102</v>
      </c>
      <c r="B71">
        <v>19</v>
      </c>
      <c r="C71">
        <v>136041</v>
      </c>
    </row>
    <row r="72" spans="1:3" x14ac:dyDescent="0.2">
      <c r="A72" t="s">
        <v>105</v>
      </c>
      <c r="B72">
        <v>76</v>
      </c>
      <c r="C72">
        <v>582623</v>
      </c>
    </row>
    <row r="73" spans="1:3" x14ac:dyDescent="0.2">
      <c r="A73" t="s">
        <v>108</v>
      </c>
      <c r="B73">
        <v>388</v>
      </c>
      <c r="C73">
        <v>253637</v>
      </c>
    </row>
    <row r="74" spans="1:3" x14ac:dyDescent="0.2">
      <c r="A74" t="s">
        <v>110</v>
      </c>
      <c r="B74">
        <v>16</v>
      </c>
      <c r="C74">
        <v>65242</v>
      </c>
    </row>
    <row r="77" spans="1:3" x14ac:dyDescent="0.2">
      <c r="A77" t="s">
        <v>880</v>
      </c>
      <c r="B77">
        <f>MIN(B3:B74)</f>
        <v>11</v>
      </c>
    </row>
    <row r="78" spans="1:3" x14ac:dyDescent="0.2">
      <c r="A78" t="s">
        <v>881</v>
      </c>
      <c r="B78">
        <f>MAX(B3:B74)</f>
        <v>4617</v>
      </c>
    </row>
    <row r="79" spans="1:3" x14ac:dyDescent="0.2">
      <c r="A79" t="s">
        <v>882</v>
      </c>
      <c r="B79">
        <f>SUM(B3:B74)</f>
        <v>17778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D3DB-4B1C-9B4F-AEE3-32915FF0CF83}">
  <dimension ref="A1:D148"/>
  <sheetViews>
    <sheetView workbookViewId="0">
      <selection activeCell="A7" sqref="A7"/>
    </sheetView>
  </sheetViews>
  <sheetFormatPr baseColWidth="10" defaultRowHeight="16" x14ac:dyDescent="0.2"/>
  <cols>
    <col min="1" max="1" width="17.1640625" customWidth="1"/>
    <col min="2" max="2" width="25.1640625" style="2" bestFit="1" customWidth="1"/>
    <col min="3" max="3" width="17.33203125" bestFit="1" customWidth="1"/>
    <col min="4" max="4" width="22.33203125" bestFit="1" customWidth="1"/>
  </cols>
  <sheetData>
    <row r="1" spans="1:4" x14ac:dyDescent="0.2">
      <c r="A1" s="6" t="s">
        <v>893</v>
      </c>
      <c r="B1"/>
    </row>
    <row r="2" spans="1:4" s="6" customFormat="1" x14ac:dyDescent="0.2">
      <c r="A2" s="8" t="s">
        <v>885</v>
      </c>
      <c r="B2" s="8" t="s">
        <v>883</v>
      </c>
      <c r="C2" s="8" t="s">
        <v>884</v>
      </c>
      <c r="D2" s="8" t="s">
        <v>889</v>
      </c>
    </row>
    <row r="3" spans="1:4" x14ac:dyDescent="0.2">
      <c r="A3" s="1" t="s">
        <v>112</v>
      </c>
      <c r="B3" s="2">
        <v>52</v>
      </c>
      <c r="C3" s="1">
        <v>9913</v>
      </c>
      <c r="D3" t="s">
        <v>260</v>
      </c>
    </row>
    <row r="4" spans="1:4" x14ac:dyDescent="0.2">
      <c r="A4" s="1" t="s">
        <v>113</v>
      </c>
      <c r="B4" s="2">
        <v>11235</v>
      </c>
      <c r="C4" s="1">
        <v>1705436</v>
      </c>
      <c r="D4" t="s">
        <v>260</v>
      </c>
    </row>
    <row r="5" spans="1:4" x14ac:dyDescent="0.2">
      <c r="A5" s="1" t="s">
        <v>114</v>
      </c>
      <c r="B5" s="2">
        <v>22</v>
      </c>
      <c r="C5" s="1">
        <v>94085</v>
      </c>
      <c r="D5" t="s">
        <v>260</v>
      </c>
    </row>
    <row r="6" spans="1:4" x14ac:dyDescent="0.2">
      <c r="A6" s="1" t="s">
        <v>115</v>
      </c>
      <c r="B6" s="2">
        <v>19</v>
      </c>
      <c r="C6" s="1">
        <v>50851</v>
      </c>
      <c r="D6" t="s">
        <v>260</v>
      </c>
    </row>
    <row r="7" spans="1:4" x14ac:dyDescent="0.2">
      <c r="A7" s="1" t="s">
        <v>116</v>
      </c>
      <c r="B7" s="2">
        <v>321</v>
      </c>
      <c r="C7" s="1">
        <v>503198</v>
      </c>
      <c r="D7" t="s">
        <v>260</v>
      </c>
    </row>
    <row r="8" spans="1:4" x14ac:dyDescent="0.2">
      <c r="A8" s="1" t="s">
        <v>117</v>
      </c>
      <c r="B8" s="2">
        <v>41</v>
      </c>
      <c r="C8" s="1">
        <v>99709</v>
      </c>
      <c r="D8" t="s">
        <v>260</v>
      </c>
    </row>
    <row r="9" spans="1:4" x14ac:dyDescent="0.2">
      <c r="A9" s="1" t="s">
        <v>118</v>
      </c>
      <c r="B9" s="2">
        <v>20</v>
      </c>
      <c r="C9" s="1">
        <v>67956</v>
      </c>
      <c r="D9" t="s">
        <v>260</v>
      </c>
    </row>
    <row r="10" spans="1:4" x14ac:dyDescent="0.2">
      <c r="A10" s="1" t="s">
        <v>119</v>
      </c>
      <c r="B10" s="2">
        <v>494</v>
      </c>
      <c r="C10" s="1">
        <v>2690256</v>
      </c>
      <c r="D10" t="s">
        <v>260</v>
      </c>
    </row>
    <row r="11" spans="1:4" x14ac:dyDescent="0.2">
      <c r="A11" s="1" t="s">
        <v>120</v>
      </c>
      <c r="B11" s="2">
        <v>16</v>
      </c>
      <c r="C11" s="1">
        <v>101366</v>
      </c>
      <c r="D11" t="s">
        <v>260</v>
      </c>
    </row>
    <row r="12" spans="1:4" x14ac:dyDescent="0.2">
      <c r="A12" s="1" t="s">
        <v>222</v>
      </c>
      <c r="B12" s="2">
        <v>1</v>
      </c>
      <c r="C12" s="1">
        <v>1798</v>
      </c>
      <c r="D12" t="s">
        <v>259</v>
      </c>
    </row>
    <row r="13" spans="1:4" x14ac:dyDescent="0.2">
      <c r="A13" s="1" t="s">
        <v>121</v>
      </c>
      <c r="B13" s="2">
        <v>469</v>
      </c>
      <c r="C13" s="1">
        <v>1189954</v>
      </c>
      <c r="D13" t="s">
        <v>260</v>
      </c>
    </row>
    <row r="14" spans="1:4" x14ac:dyDescent="0.2">
      <c r="A14" s="1" t="s">
        <v>122</v>
      </c>
      <c r="B14" s="2">
        <v>58</v>
      </c>
      <c r="C14" s="1">
        <v>68018</v>
      </c>
      <c r="D14" t="s">
        <v>260</v>
      </c>
    </row>
    <row r="15" spans="1:4" x14ac:dyDescent="0.2">
      <c r="A15" s="1" t="s">
        <v>123</v>
      </c>
      <c r="B15" s="2">
        <v>106</v>
      </c>
      <c r="C15" s="1">
        <v>148836</v>
      </c>
      <c r="D15" t="s">
        <v>260</v>
      </c>
    </row>
    <row r="16" spans="1:4" x14ac:dyDescent="0.2">
      <c r="A16" s="1" t="s">
        <v>124</v>
      </c>
      <c r="B16" s="2">
        <v>710</v>
      </c>
      <c r="C16" s="1">
        <v>192414</v>
      </c>
      <c r="D16" t="s">
        <v>260</v>
      </c>
    </row>
    <row r="17" spans="1:4" x14ac:dyDescent="0.2">
      <c r="A17" s="1" t="s">
        <v>125</v>
      </c>
      <c r="B17" s="2">
        <v>24</v>
      </c>
      <c r="C17" s="1">
        <v>440</v>
      </c>
      <c r="D17" t="s">
        <v>260</v>
      </c>
    </row>
    <row r="18" spans="1:4" x14ac:dyDescent="0.2">
      <c r="A18" s="1" t="s">
        <v>126</v>
      </c>
      <c r="B18" s="2">
        <v>117</v>
      </c>
      <c r="C18" s="1">
        <v>167998</v>
      </c>
      <c r="D18" t="s">
        <v>260</v>
      </c>
    </row>
    <row r="19" spans="1:4" x14ac:dyDescent="0.2">
      <c r="A19" s="1" t="s">
        <v>127</v>
      </c>
      <c r="B19" s="2">
        <v>97</v>
      </c>
      <c r="C19" s="1">
        <v>663743</v>
      </c>
      <c r="D19" t="s">
        <v>260</v>
      </c>
    </row>
    <row r="20" spans="1:4" x14ac:dyDescent="0.2">
      <c r="A20" s="1" t="s">
        <v>128</v>
      </c>
      <c r="B20" s="2">
        <v>103</v>
      </c>
      <c r="C20" s="1">
        <v>254261</v>
      </c>
      <c r="D20" t="s">
        <v>260</v>
      </c>
    </row>
    <row r="21" spans="1:4" x14ac:dyDescent="0.2">
      <c r="A21" s="1" t="s">
        <v>129</v>
      </c>
      <c r="B21" s="2">
        <v>1451</v>
      </c>
      <c r="C21" s="1">
        <v>537322</v>
      </c>
      <c r="D21" t="s">
        <v>260</v>
      </c>
    </row>
    <row r="22" spans="1:4" x14ac:dyDescent="0.2">
      <c r="A22" s="1" t="s">
        <v>223</v>
      </c>
      <c r="B22" s="2">
        <v>1</v>
      </c>
      <c r="C22" s="1">
        <v>4539</v>
      </c>
      <c r="D22" t="s">
        <v>259</v>
      </c>
    </row>
    <row r="23" spans="1:4" x14ac:dyDescent="0.2">
      <c r="A23" s="1" t="s">
        <v>224</v>
      </c>
      <c r="B23" s="2">
        <v>7</v>
      </c>
      <c r="C23" s="1">
        <v>48529</v>
      </c>
      <c r="D23" t="s">
        <v>259</v>
      </c>
    </row>
    <row r="24" spans="1:4" x14ac:dyDescent="0.2">
      <c r="A24" s="1" t="s">
        <v>130</v>
      </c>
      <c r="B24" s="2">
        <v>91</v>
      </c>
      <c r="C24" s="1">
        <v>358820</v>
      </c>
      <c r="D24" t="s">
        <v>260</v>
      </c>
    </row>
    <row r="25" spans="1:4" x14ac:dyDescent="0.2">
      <c r="A25" s="1" t="s">
        <v>131</v>
      </c>
      <c r="B25" s="2">
        <v>33</v>
      </c>
      <c r="C25" s="1">
        <v>32865</v>
      </c>
      <c r="D25" t="s">
        <v>260</v>
      </c>
    </row>
    <row r="26" spans="1:4" x14ac:dyDescent="0.2">
      <c r="A26" s="1" t="s">
        <v>225</v>
      </c>
      <c r="B26" s="2">
        <v>3</v>
      </c>
      <c r="C26" s="1">
        <v>3610</v>
      </c>
      <c r="D26" t="s">
        <v>259</v>
      </c>
    </row>
    <row r="27" spans="1:4" x14ac:dyDescent="0.2">
      <c r="A27" s="1" t="s">
        <v>132</v>
      </c>
      <c r="B27" s="2">
        <v>223</v>
      </c>
      <c r="C27" s="1">
        <v>94959</v>
      </c>
      <c r="D27" t="s">
        <v>260</v>
      </c>
    </row>
    <row r="28" spans="1:4" x14ac:dyDescent="0.2">
      <c r="A28" s="1" t="s">
        <v>226</v>
      </c>
      <c r="B28" s="2">
        <v>8</v>
      </c>
      <c r="C28" s="1">
        <v>202</v>
      </c>
      <c r="D28" t="s">
        <v>259</v>
      </c>
    </row>
    <row r="29" spans="1:4" x14ac:dyDescent="0.2">
      <c r="A29" s="1" t="s">
        <v>133</v>
      </c>
      <c r="B29" s="2">
        <v>121</v>
      </c>
      <c r="C29" s="1">
        <v>520288</v>
      </c>
      <c r="D29" t="s">
        <v>260</v>
      </c>
    </row>
    <row r="30" spans="1:4" x14ac:dyDescent="0.2">
      <c r="A30" s="1" t="s">
        <v>227</v>
      </c>
      <c r="B30" s="2">
        <v>9</v>
      </c>
      <c r="C30" s="1">
        <v>1585</v>
      </c>
      <c r="D30" t="s">
        <v>259</v>
      </c>
    </row>
    <row r="31" spans="1:4" x14ac:dyDescent="0.2">
      <c r="A31" s="1" t="s">
        <v>228</v>
      </c>
      <c r="B31" s="2">
        <v>9</v>
      </c>
      <c r="C31" s="1">
        <v>8847</v>
      </c>
      <c r="D31" t="s">
        <v>259</v>
      </c>
    </row>
    <row r="32" spans="1:4" x14ac:dyDescent="0.2">
      <c r="A32" s="1" t="s">
        <v>134</v>
      </c>
      <c r="B32" s="2">
        <v>96</v>
      </c>
      <c r="C32" s="1">
        <v>1667</v>
      </c>
      <c r="D32" t="s">
        <v>260</v>
      </c>
    </row>
    <row r="33" spans="1:4" x14ac:dyDescent="0.2">
      <c r="A33" s="1" t="s">
        <v>135</v>
      </c>
      <c r="B33" s="2">
        <v>47</v>
      </c>
      <c r="C33" s="1">
        <v>190287</v>
      </c>
      <c r="D33" t="s">
        <v>260</v>
      </c>
    </row>
    <row r="34" spans="1:4" x14ac:dyDescent="0.2">
      <c r="A34" s="1" t="s">
        <v>229</v>
      </c>
      <c r="B34" s="2">
        <v>6</v>
      </c>
      <c r="C34" s="1">
        <v>53265</v>
      </c>
      <c r="D34" t="s">
        <v>259</v>
      </c>
    </row>
    <row r="35" spans="1:4" x14ac:dyDescent="0.2">
      <c r="A35" s="1" t="s">
        <v>230</v>
      </c>
      <c r="B35" s="2">
        <v>7</v>
      </c>
      <c r="C35" s="1">
        <v>71080</v>
      </c>
      <c r="D35" t="s">
        <v>259</v>
      </c>
    </row>
    <row r="36" spans="1:4" x14ac:dyDescent="0.2">
      <c r="A36" s="1" t="s">
        <v>136</v>
      </c>
      <c r="B36" s="2">
        <v>100</v>
      </c>
      <c r="C36" s="1">
        <v>74252</v>
      </c>
      <c r="D36" t="s">
        <v>260</v>
      </c>
    </row>
    <row r="37" spans="1:4" x14ac:dyDescent="0.2">
      <c r="A37" s="1" t="s">
        <v>137</v>
      </c>
      <c r="B37" s="2">
        <v>61</v>
      </c>
      <c r="C37" s="1">
        <v>61992</v>
      </c>
      <c r="D37" t="s">
        <v>260</v>
      </c>
    </row>
    <row r="38" spans="1:4" x14ac:dyDescent="0.2">
      <c r="A38" s="1" t="s">
        <v>231</v>
      </c>
      <c r="B38" s="2">
        <v>16</v>
      </c>
      <c r="C38" s="1">
        <v>42809</v>
      </c>
      <c r="D38" t="s">
        <v>259</v>
      </c>
    </row>
    <row r="39" spans="1:4" x14ac:dyDescent="0.2">
      <c r="A39" s="1" t="s">
        <v>232</v>
      </c>
      <c r="B39" s="2">
        <v>8</v>
      </c>
      <c r="C39" s="1">
        <v>7222</v>
      </c>
      <c r="D39" t="s">
        <v>259</v>
      </c>
    </row>
    <row r="40" spans="1:4" x14ac:dyDescent="0.2">
      <c r="A40" s="1" t="s">
        <v>138</v>
      </c>
      <c r="B40" s="2">
        <v>90</v>
      </c>
      <c r="C40" s="1">
        <v>253127</v>
      </c>
      <c r="D40" t="s">
        <v>260</v>
      </c>
    </row>
    <row r="41" spans="1:4" x14ac:dyDescent="0.2">
      <c r="A41" s="1" t="s">
        <v>139</v>
      </c>
      <c r="B41" s="2">
        <v>418</v>
      </c>
      <c r="C41" s="1">
        <v>394387</v>
      </c>
      <c r="D41" t="s">
        <v>260</v>
      </c>
    </row>
    <row r="42" spans="1:4" x14ac:dyDescent="0.2">
      <c r="A42" s="1" t="s">
        <v>233</v>
      </c>
      <c r="B42" s="2">
        <v>3</v>
      </c>
      <c r="C42" s="1">
        <v>5426</v>
      </c>
      <c r="D42" t="s">
        <v>259</v>
      </c>
    </row>
    <row r="43" spans="1:4" x14ac:dyDescent="0.2">
      <c r="A43" s="1" t="s">
        <v>140</v>
      </c>
      <c r="B43" s="2">
        <v>12</v>
      </c>
      <c r="C43" s="1">
        <v>72058</v>
      </c>
      <c r="D43" t="s">
        <v>260</v>
      </c>
    </row>
    <row r="44" spans="1:4" x14ac:dyDescent="0.2">
      <c r="A44" s="1" t="s">
        <v>141</v>
      </c>
      <c r="B44" s="2">
        <v>2057</v>
      </c>
      <c r="C44" s="1">
        <v>170336</v>
      </c>
      <c r="D44" t="s">
        <v>260</v>
      </c>
    </row>
    <row r="45" spans="1:4" x14ac:dyDescent="0.2">
      <c r="A45" s="1" t="s">
        <v>142</v>
      </c>
      <c r="B45" s="2">
        <v>1848</v>
      </c>
      <c r="C45" s="1">
        <v>939051</v>
      </c>
      <c r="D45" t="s">
        <v>260</v>
      </c>
    </row>
    <row r="46" spans="1:4" x14ac:dyDescent="0.2">
      <c r="A46" s="1" t="s">
        <v>143</v>
      </c>
      <c r="B46" s="2">
        <v>504</v>
      </c>
      <c r="C46" s="1">
        <v>328577</v>
      </c>
      <c r="D46" t="s">
        <v>260</v>
      </c>
    </row>
    <row r="47" spans="1:4" x14ac:dyDescent="0.2">
      <c r="A47" s="1" t="s">
        <v>144</v>
      </c>
      <c r="B47" s="2">
        <v>219</v>
      </c>
      <c r="C47" s="1">
        <v>244791</v>
      </c>
      <c r="D47" t="s">
        <v>260</v>
      </c>
    </row>
    <row r="48" spans="1:4" x14ac:dyDescent="0.2">
      <c r="A48" s="1" t="s">
        <v>145</v>
      </c>
      <c r="B48" s="2">
        <v>116</v>
      </c>
      <c r="C48" s="1">
        <v>73261</v>
      </c>
      <c r="D48" t="s">
        <v>260</v>
      </c>
    </row>
    <row r="49" spans="1:4" x14ac:dyDescent="0.2">
      <c r="A49" s="1" t="s">
        <v>234</v>
      </c>
      <c r="B49" s="2">
        <v>3</v>
      </c>
      <c r="C49" s="1">
        <v>3215</v>
      </c>
      <c r="D49" t="s">
        <v>259</v>
      </c>
    </row>
    <row r="50" spans="1:4" x14ac:dyDescent="0.2">
      <c r="A50" s="1" t="s">
        <v>235</v>
      </c>
      <c r="B50" s="2">
        <v>7</v>
      </c>
      <c r="C50" s="1">
        <v>19135</v>
      </c>
      <c r="D50" t="s">
        <v>259</v>
      </c>
    </row>
    <row r="51" spans="1:4" x14ac:dyDescent="0.2">
      <c r="A51" s="1" t="s">
        <v>146</v>
      </c>
      <c r="B51" s="2">
        <v>20</v>
      </c>
      <c r="C51" s="1">
        <v>9734</v>
      </c>
      <c r="D51" t="s">
        <v>260</v>
      </c>
    </row>
    <row r="52" spans="1:4" x14ac:dyDescent="0.2">
      <c r="A52" s="1" t="s">
        <v>147</v>
      </c>
      <c r="B52" s="2">
        <v>42293</v>
      </c>
      <c r="C52" s="1">
        <v>1400562</v>
      </c>
      <c r="D52" t="s">
        <v>260</v>
      </c>
    </row>
    <row r="53" spans="1:4" x14ac:dyDescent="0.2">
      <c r="A53" s="1" t="s">
        <v>148</v>
      </c>
      <c r="B53" s="2">
        <v>82</v>
      </c>
      <c r="C53" s="1">
        <v>35497</v>
      </c>
      <c r="D53" t="s">
        <v>260</v>
      </c>
    </row>
    <row r="54" spans="1:4" x14ac:dyDescent="0.2">
      <c r="A54" s="1" t="s">
        <v>149</v>
      </c>
      <c r="B54" s="2">
        <v>251</v>
      </c>
      <c r="C54" s="1">
        <v>262570</v>
      </c>
      <c r="D54" t="s">
        <v>260</v>
      </c>
    </row>
    <row r="55" spans="1:4" x14ac:dyDescent="0.2">
      <c r="A55" s="1" t="s">
        <v>236</v>
      </c>
      <c r="B55" s="2">
        <v>4</v>
      </c>
      <c r="C55" s="1">
        <v>568</v>
      </c>
      <c r="D55" t="s">
        <v>259</v>
      </c>
    </row>
    <row r="56" spans="1:4" x14ac:dyDescent="0.2">
      <c r="A56" s="1" t="s">
        <v>237</v>
      </c>
      <c r="B56" s="2">
        <v>3</v>
      </c>
      <c r="C56" s="1">
        <v>28155</v>
      </c>
      <c r="D56" t="s">
        <v>259</v>
      </c>
    </row>
    <row r="57" spans="1:4" x14ac:dyDescent="0.2">
      <c r="A57" s="1" t="s">
        <v>150</v>
      </c>
      <c r="B57" s="2">
        <v>1239</v>
      </c>
      <c r="C57" s="1">
        <v>982343</v>
      </c>
      <c r="D57" t="s">
        <v>260</v>
      </c>
    </row>
    <row r="58" spans="1:4" x14ac:dyDescent="0.2">
      <c r="A58" s="1" t="s">
        <v>151</v>
      </c>
      <c r="B58" s="2">
        <v>1013</v>
      </c>
      <c r="C58" s="1">
        <v>35184</v>
      </c>
      <c r="D58" t="s">
        <v>260</v>
      </c>
    </row>
    <row r="59" spans="1:4" x14ac:dyDescent="0.2">
      <c r="A59" s="1" t="s">
        <v>152</v>
      </c>
      <c r="B59" s="2">
        <v>358</v>
      </c>
      <c r="C59" s="1">
        <v>14749</v>
      </c>
      <c r="D59" t="s">
        <v>260</v>
      </c>
    </row>
    <row r="60" spans="1:4" x14ac:dyDescent="0.2">
      <c r="A60" s="1" t="s">
        <v>238</v>
      </c>
      <c r="B60" s="2">
        <v>6499</v>
      </c>
      <c r="C60" s="1">
        <v>2462329</v>
      </c>
      <c r="D60" t="s">
        <v>259</v>
      </c>
    </row>
    <row r="61" spans="1:4" x14ac:dyDescent="0.2">
      <c r="A61" s="1" t="s">
        <v>153</v>
      </c>
      <c r="B61" s="2">
        <v>612</v>
      </c>
      <c r="C61" s="1">
        <v>155511</v>
      </c>
      <c r="D61" t="s">
        <v>260</v>
      </c>
    </row>
    <row r="62" spans="1:4" x14ac:dyDescent="0.2">
      <c r="A62" s="1" t="s">
        <v>154</v>
      </c>
      <c r="B62" s="2">
        <v>1347</v>
      </c>
      <c r="C62" s="1">
        <v>1006866</v>
      </c>
      <c r="D62" t="s">
        <v>260</v>
      </c>
    </row>
    <row r="63" spans="1:4" x14ac:dyDescent="0.2">
      <c r="A63" s="1" t="s">
        <v>239</v>
      </c>
      <c r="B63" s="2">
        <v>10</v>
      </c>
      <c r="C63" s="1">
        <v>32095</v>
      </c>
      <c r="D63" t="s">
        <v>259</v>
      </c>
    </row>
    <row r="64" spans="1:4" x14ac:dyDescent="0.2">
      <c r="A64" s="1" t="s">
        <v>155</v>
      </c>
      <c r="B64" s="2">
        <v>36</v>
      </c>
      <c r="C64" s="1">
        <v>531</v>
      </c>
      <c r="D64" t="s">
        <v>260</v>
      </c>
    </row>
    <row r="65" spans="1:4" x14ac:dyDescent="0.2">
      <c r="A65" s="1" t="s">
        <v>156</v>
      </c>
      <c r="B65" s="2">
        <v>250</v>
      </c>
      <c r="C65" s="1">
        <v>58129</v>
      </c>
      <c r="D65" t="s">
        <v>260</v>
      </c>
    </row>
    <row r="66" spans="1:4" x14ac:dyDescent="0.2">
      <c r="A66" s="1" t="s">
        <v>157</v>
      </c>
      <c r="B66" s="2">
        <v>589</v>
      </c>
      <c r="C66" s="1">
        <v>302519</v>
      </c>
      <c r="D66" t="s">
        <v>260</v>
      </c>
    </row>
    <row r="67" spans="1:4" x14ac:dyDescent="0.2">
      <c r="A67" s="1" t="s">
        <v>158</v>
      </c>
      <c r="B67" s="2">
        <v>48</v>
      </c>
      <c r="C67" s="1">
        <v>267417</v>
      </c>
      <c r="D67" t="s">
        <v>260</v>
      </c>
    </row>
    <row r="68" spans="1:4" x14ac:dyDescent="0.2">
      <c r="A68" s="1" t="s">
        <v>159</v>
      </c>
      <c r="B68" s="2">
        <v>16569</v>
      </c>
      <c r="C68" s="1">
        <v>2969246</v>
      </c>
      <c r="D68" t="s">
        <v>260</v>
      </c>
    </row>
    <row r="69" spans="1:4" x14ac:dyDescent="0.2">
      <c r="A69" s="1" t="s">
        <v>160</v>
      </c>
      <c r="B69" s="2">
        <v>173</v>
      </c>
      <c r="C69" s="1">
        <v>4944</v>
      </c>
      <c r="D69" t="s">
        <v>260</v>
      </c>
    </row>
    <row r="70" spans="1:4" x14ac:dyDescent="0.2">
      <c r="A70" s="1" t="s">
        <v>161</v>
      </c>
      <c r="B70" s="2">
        <v>117</v>
      </c>
      <c r="C70" s="1">
        <v>23041</v>
      </c>
      <c r="D70" t="s">
        <v>260</v>
      </c>
    </row>
    <row r="71" spans="1:4" x14ac:dyDescent="0.2">
      <c r="A71" s="1" t="s">
        <v>162</v>
      </c>
      <c r="B71" s="2">
        <v>677</v>
      </c>
      <c r="C71" s="1">
        <v>339542</v>
      </c>
      <c r="D71" t="s">
        <v>260</v>
      </c>
    </row>
    <row r="72" spans="1:4" x14ac:dyDescent="0.2">
      <c r="A72" s="1" t="s">
        <v>163</v>
      </c>
      <c r="B72" s="2">
        <v>56</v>
      </c>
      <c r="C72" s="1">
        <v>1580829</v>
      </c>
      <c r="D72" t="s">
        <v>260</v>
      </c>
    </row>
    <row r="73" spans="1:4" x14ac:dyDescent="0.2">
      <c r="A73" s="1" t="s">
        <v>164</v>
      </c>
      <c r="B73" s="2">
        <v>26</v>
      </c>
      <c r="C73" s="1">
        <v>1089674</v>
      </c>
      <c r="D73" t="s">
        <v>260</v>
      </c>
    </row>
    <row r="74" spans="1:4" x14ac:dyDescent="0.2">
      <c r="A74" s="1" t="s">
        <v>240</v>
      </c>
      <c r="B74" s="2">
        <v>4</v>
      </c>
      <c r="C74" s="1">
        <v>68937</v>
      </c>
      <c r="D74" t="s">
        <v>259</v>
      </c>
    </row>
    <row r="75" spans="1:4" x14ac:dyDescent="0.2">
      <c r="A75" s="1" t="s">
        <v>241</v>
      </c>
      <c r="B75" s="2">
        <v>1</v>
      </c>
      <c r="C75" s="1">
        <v>6602</v>
      </c>
      <c r="D75" t="s">
        <v>259</v>
      </c>
    </row>
    <row r="76" spans="1:4" x14ac:dyDescent="0.2">
      <c r="A76" s="1" t="s">
        <v>165</v>
      </c>
      <c r="B76" s="2">
        <v>138</v>
      </c>
      <c r="C76" s="1">
        <v>272878</v>
      </c>
      <c r="D76" t="s">
        <v>260</v>
      </c>
    </row>
    <row r="77" spans="1:4" x14ac:dyDescent="0.2">
      <c r="A77" s="1" t="s">
        <v>166</v>
      </c>
      <c r="B77" s="2">
        <v>33</v>
      </c>
      <c r="C77" s="1">
        <v>187203</v>
      </c>
      <c r="D77" t="s">
        <v>260</v>
      </c>
    </row>
    <row r="78" spans="1:4" x14ac:dyDescent="0.2">
      <c r="A78" s="1" t="s">
        <v>167</v>
      </c>
      <c r="B78" s="2">
        <v>33</v>
      </c>
      <c r="C78" s="1">
        <v>12018</v>
      </c>
      <c r="D78" t="s">
        <v>260</v>
      </c>
    </row>
    <row r="79" spans="1:4" x14ac:dyDescent="0.2">
      <c r="A79" s="1" t="s">
        <v>168</v>
      </c>
      <c r="B79" s="2">
        <v>1509</v>
      </c>
      <c r="C79" s="1">
        <v>191163</v>
      </c>
      <c r="D79" t="s">
        <v>260</v>
      </c>
    </row>
    <row r="80" spans="1:4" x14ac:dyDescent="0.2">
      <c r="A80" s="1" t="s">
        <v>169</v>
      </c>
      <c r="B80" s="2">
        <v>163</v>
      </c>
      <c r="C80" s="1">
        <v>97700</v>
      </c>
      <c r="D80" t="s">
        <v>260</v>
      </c>
    </row>
    <row r="81" spans="1:4" x14ac:dyDescent="0.2">
      <c r="A81" s="1" t="s">
        <v>242</v>
      </c>
      <c r="B81" s="2">
        <v>21</v>
      </c>
      <c r="C81" s="1">
        <v>35261</v>
      </c>
      <c r="D81" t="s">
        <v>259</v>
      </c>
    </row>
    <row r="82" spans="1:4" x14ac:dyDescent="0.2">
      <c r="A82" s="1" t="s">
        <v>170</v>
      </c>
      <c r="B82" s="2">
        <v>125</v>
      </c>
      <c r="C82" s="1">
        <v>133592</v>
      </c>
      <c r="D82" t="s">
        <v>260</v>
      </c>
    </row>
    <row r="83" spans="1:4" x14ac:dyDescent="0.2">
      <c r="A83" s="1" t="s">
        <v>171</v>
      </c>
      <c r="B83" s="2">
        <v>73</v>
      </c>
      <c r="C83" s="1">
        <v>61943</v>
      </c>
      <c r="D83" t="s">
        <v>260</v>
      </c>
    </row>
    <row r="84" spans="1:4" x14ac:dyDescent="0.2">
      <c r="A84" s="1" t="s">
        <v>172</v>
      </c>
      <c r="B84" s="2">
        <v>695</v>
      </c>
      <c r="C84" s="1">
        <v>824175</v>
      </c>
      <c r="D84" t="s">
        <v>260</v>
      </c>
    </row>
    <row r="85" spans="1:4" x14ac:dyDescent="0.2">
      <c r="A85" s="1" t="s">
        <v>173</v>
      </c>
      <c r="B85" s="2">
        <v>80</v>
      </c>
      <c r="C85" s="1">
        <v>639075</v>
      </c>
      <c r="D85" t="s">
        <v>260</v>
      </c>
    </row>
    <row r="86" spans="1:4" x14ac:dyDescent="0.2">
      <c r="A86" s="1" t="s">
        <v>174</v>
      </c>
      <c r="B86" s="2">
        <v>4584</v>
      </c>
      <c r="C86" s="1">
        <v>2549007</v>
      </c>
      <c r="D86" t="s">
        <v>260</v>
      </c>
    </row>
    <row r="87" spans="1:4" x14ac:dyDescent="0.2">
      <c r="A87" s="1" t="s">
        <v>175</v>
      </c>
      <c r="B87" s="2">
        <v>52</v>
      </c>
      <c r="C87" s="1">
        <v>224641</v>
      </c>
      <c r="D87" t="s">
        <v>260</v>
      </c>
    </row>
    <row r="88" spans="1:4" x14ac:dyDescent="0.2">
      <c r="A88" s="1" t="s">
        <v>176</v>
      </c>
      <c r="B88" s="2">
        <v>14</v>
      </c>
      <c r="C88" s="1">
        <v>4754</v>
      </c>
      <c r="D88" t="s">
        <v>260</v>
      </c>
    </row>
    <row r="89" spans="1:4" x14ac:dyDescent="0.2">
      <c r="A89" s="1" t="s">
        <v>177</v>
      </c>
      <c r="B89" s="2">
        <v>537</v>
      </c>
      <c r="C89" s="1">
        <v>572707</v>
      </c>
      <c r="D89" t="s">
        <v>260</v>
      </c>
    </row>
    <row r="90" spans="1:4" x14ac:dyDescent="0.2">
      <c r="A90" s="1" t="s">
        <v>243</v>
      </c>
      <c r="B90" s="2">
        <v>884</v>
      </c>
      <c r="C90" s="1">
        <v>441871</v>
      </c>
      <c r="D90" t="s">
        <v>259</v>
      </c>
    </row>
    <row r="91" spans="1:4" x14ac:dyDescent="0.2">
      <c r="A91" s="1" t="s">
        <v>244</v>
      </c>
      <c r="B91" s="2">
        <v>1</v>
      </c>
      <c r="C91" s="1">
        <v>642</v>
      </c>
      <c r="D91" t="s">
        <v>259</v>
      </c>
    </row>
    <row r="92" spans="1:4" x14ac:dyDescent="0.2">
      <c r="A92" s="1" t="s">
        <v>245</v>
      </c>
      <c r="B92" s="2">
        <v>2</v>
      </c>
      <c r="C92" s="1">
        <v>20627</v>
      </c>
      <c r="D92" t="s">
        <v>259</v>
      </c>
    </row>
    <row r="93" spans="1:4" x14ac:dyDescent="0.2">
      <c r="A93" s="1" t="s">
        <v>178</v>
      </c>
      <c r="B93" s="2">
        <v>410</v>
      </c>
      <c r="C93" s="1">
        <v>119431</v>
      </c>
      <c r="D93" t="s">
        <v>260</v>
      </c>
    </row>
    <row r="94" spans="1:4" x14ac:dyDescent="0.2">
      <c r="A94" s="1" t="s">
        <v>246</v>
      </c>
      <c r="B94" s="2">
        <v>4</v>
      </c>
      <c r="C94" s="1">
        <v>65577</v>
      </c>
      <c r="D94" t="s">
        <v>259</v>
      </c>
    </row>
    <row r="95" spans="1:4" x14ac:dyDescent="0.2">
      <c r="A95" s="1" t="s">
        <v>247</v>
      </c>
      <c r="B95" s="2">
        <v>1</v>
      </c>
      <c r="C95" s="1">
        <v>4140</v>
      </c>
      <c r="D95" t="s">
        <v>259</v>
      </c>
    </row>
    <row r="96" spans="1:4" x14ac:dyDescent="0.2">
      <c r="A96" s="1" t="s">
        <v>179</v>
      </c>
      <c r="B96" s="2">
        <v>2756</v>
      </c>
      <c r="C96" s="1">
        <v>191343</v>
      </c>
      <c r="D96" t="s">
        <v>260</v>
      </c>
    </row>
    <row r="97" spans="1:4" x14ac:dyDescent="0.2">
      <c r="A97" s="1" t="s">
        <v>180</v>
      </c>
      <c r="B97" s="2">
        <v>101</v>
      </c>
      <c r="C97" s="1">
        <v>18288</v>
      </c>
      <c r="D97" t="s">
        <v>260</v>
      </c>
    </row>
    <row r="98" spans="1:4" x14ac:dyDescent="0.2">
      <c r="A98" s="1" t="s">
        <v>181</v>
      </c>
      <c r="B98" s="2">
        <v>4969</v>
      </c>
      <c r="C98" s="1">
        <v>577955</v>
      </c>
      <c r="D98" t="s">
        <v>260</v>
      </c>
    </row>
    <row r="99" spans="1:4" x14ac:dyDescent="0.2">
      <c r="A99" s="1" t="s">
        <v>248</v>
      </c>
      <c r="B99" s="2">
        <v>200</v>
      </c>
      <c r="C99" s="1">
        <v>138024</v>
      </c>
      <c r="D99" t="s">
        <v>259</v>
      </c>
    </row>
    <row r="100" spans="1:4" x14ac:dyDescent="0.2">
      <c r="A100" s="1" t="s">
        <v>182</v>
      </c>
      <c r="B100" s="2">
        <v>23</v>
      </c>
      <c r="C100" s="1">
        <v>586755</v>
      </c>
      <c r="D100" t="s">
        <v>260</v>
      </c>
    </row>
    <row r="101" spans="1:4" x14ac:dyDescent="0.2">
      <c r="A101" s="1" t="s">
        <v>183</v>
      </c>
      <c r="B101" s="2">
        <v>898</v>
      </c>
      <c r="C101" s="1">
        <v>489563</v>
      </c>
      <c r="D101" t="s">
        <v>260</v>
      </c>
    </row>
    <row r="102" spans="1:4" x14ac:dyDescent="0.2">
      <c r="A102" s="1" t="s">
        <v>184</v>
      </c>
      <c r="B102" s="2">
        <v>67</v>
      </c>
      <c r="C102" s="1">
        <v>114075</v>
      </c>
      <c r="D102" t="s">
        <v>260</v>
      </c>
    </row>
    <row r="103" spans="1:4" x14ac:dyDescent="0.2">
      <c r="A103" s="1" t="s">
        <v>185</v>
      </c>
      <c r="B103" s="2">
        <v>31</v>
      </c>
      <c r="C103" s="1">
        <v>26370</v>
      </c>
      <c r="D103" t="s">
        <v>260</v>
      </c>
    </row>
    <row r="104" spans="1:4" x14ac:dyDescent="0.2">
      <c r="A104" s="1" t="s">
        <v>186</v>
      </c>
      <c r="B104" s="2">
        <v>6473</v>
      </c>
      <c r="C104" s="1">
        <v>1410477</v>
      </c>
      <c r="D104" t="s">
        <v>260</v>
      </c>
    </row>
    <row r="105" spans="1:4" x14ac:dyDescent="0.2">
      <c r="A105" s="1" t="s">
        <v>249</v>
      </c>
      <c r="B105" s="2">
        <v>2</v>
      </c>
      <c r="C105" s="1">
        <v>505</v>
      </c>
      <c r="D105" t="s">
        <v>259</v>
      </c>
    </row>
    <row r="106" spans="1:4" x14ac:dyDescent="0.2">
      <c r="A106" s="1" t="s">
        <v>187</v>
      </c>
      <c r="B106" s="2">
        <v>150</v>
      </c>
      <c r="C106" s="1">
        <v>33898</v>
      </c>
      <c r="D106" t="s">
        <v>260</v>
      </c>
    </row>
    <row r="107" spans="1:4" x14ac:dyDescent="0.2">
      <c r="A107" s="1" t="s">
        <v>188</v>
      </c>
      <c r="B107" s="2">
        <v>92</v>
      </c>
      <c r="C107" s="1">
        <v>237837</v>
      </c>
      <c r="D107" t="s">
        <v>260</v>
      </c>
    </row>
    <row r="108" spans="1:4" x14ac:dyDescent="0.2">
      <c r="A108" s="1" t="s">
        <v>189</v>
      </c>
      <c r="B108" s="2">
        <v>1031</v>
      </c>
      <c r="C108" s="1">
        <v>2067168</v>
      </c>
      <c r="D108" t="s">
        <v>260</v>
      </c>
    </row>
    <row r="109" spans="1:4" x14ac:dyDescent="0.2">
      <c r="A109" s="1" t="s">
        <v>190</v>
      </c>
      <c r="B109" s="2">
        <v>11</v>
      </c>
      <c r="C109" s="1">
        <v>57117</v>
      </c>
      <c r="D109" t="s">
        <v>260</v>
      </c>
    </row>
    <row r="110" spans="1:4" x14ac:dyDescent="0.2">
      <c r="A110" s="1" t="s">
        <v>191</v>
      </c>
      <c r="B110" s="2">
        <v>125</v>
      </c>
      <c r="C110" s="1">
        <v>145913</v>
      </c>
      <c r="D110" t="s">
        <v>260</v>
      </c>
    </row>
    <row r="111" spans="1:4" x14ac:dyDescent="0.2">
      <c r="A111" s="1" t="s">
        <v>192</v>
      </c>
      <c r="B111" s="2">
        <v>83</v>
      </c>
      <c r="C111" s="1">
        <v>352126</v>
      </c>
      <c r="D111" t="s">
        <v>260</v>
      </c>
    </row>
    <row r="112" spans="1:4" x14ac:dyDescent="0.2">
      <c r="A112" s="1" t="s">
        <v>193</v>
      </c>
      <c r="B112" s="2">
        <v>72</v>
      </c>
      <c r="C112" s="1">
        <v>88724</v>
      </c>
      <c r="D112" t="s">
        <v>260</v>
      </c>
    </row>
    <row r="113" spans="1:4" x14ac:dyDescent="0.2">
      <c r="A113" s="1" t="s">
        <v>194</v>
      </c>
      <c r="B113" s="2">
        <v>1871</v>
      </c>
      <c r="C113" s="1">
        <v>379638</v>
      </c>
      <c r="D113" t="s">
        <v>260</v>
      </c>
    </row>
    <row r="114" spans="1:4" x14ac:dyDescent="0.2">
      <c r="A114" s="1" t="s">
        <v>195</v>
      </c>
      <c r="B114" s="2">
        <v>213</v>
      </c>
      <c r="C114" s="1">
        <v>662926</v>
      </c>
      <c r="D114" t="s">
        <v>260</v>
      </c>
    </row>
    <row r="115" spans="1:4" x14ac:dyDescent="0.2">
      <c r="A115" s="1" t="s">
        <v>196</v>
      </c>
      <c r="B115" s="2">
        <v>133</v>
      </c>
      <c r="C115" s="1">
        <v>255198</v>
      </c>
      <c r="D115" t="s">
        <v>260</v>
      </c>
    </row>
    <row r="116" spans="1:4" x14ac:dyDescent="0.2">
      <c r="A116" s="1" t="s">
        <v>197</v>
      </c>
      <c r="B116" s="2">
        <v>35</v>
      </c>
      <c r="C116" s="1">
        <v>1028</v>
      </c>
      <c r="D116" t="s">
        <v>260</v>
      </c>
    </row>
    <row r="117" spans="1:4" x14ac:dyDescent="0.2">
      <c r="A117" s="1" t="s">
        <v>198</v>
      </c>
      <c r="B117" s="2">
        <v>191</v>
      </c>
      <c r="C117" s="1">
        <v>787928</v>
      </c>
      <c r="D117" t="s">
        <v>260</v>
      </c>
    </row>
    <row r="118" spans="1:4" x14ac:dyDescent="0.2">
      <c r="A118" s="1" t="s">
        <v>199</v>
      </c>
      <c r="B118" s="2">
        <v>17</v>
      </c>
      <c r="C118" s="1">
        <v>91897</v>
      </c>
      <c r="D118" t="s">
        <v>260</v>
      </c>
    </row>
    <row r="119" spans="1:4" x14ac:dyDescent="0.2">
      <c r="A119" s="1" t="s">
        <v>200</v>
      </c>
      <c r="B119" s="2">
        <v>132</v>
      </c>
      <c r="C119" s="1">
        <v>3552</v>
      </c>
      <c r="D119" t="s">
        <v>260</v>
      </c>
    </row>
    <row r="120" spans="1:4" x14ac:dyDescent="0.2">
      <c r="A120" s="1" t="s">
        <v>201</v>
      </c>
      <c r="B120" s="2">
        <v>69</v>
      </c>
      <c r="C120" s="1">
        <v>334425</v>
      </c>
      <c r="D120" t="s">
        <v>260</v>
      </c>
    </row>
    <row r="121" spans="1:4" x14ac:dyDescent="0.2">
      <c r="A121" s="1" t="s">
        <v>202</v>
      </c>
      <c r="B121" s="2">
        <v>447</v>
      </c>
      <c r="C121" s="1">
        <v>780922</v>
      </c>
      <c r="D121" t="s">
        <v>260</v>
      </c>
    </row>
    <row r="122" spans="1:4" x14ac:dyDescent="0.2">
      <c r="A122" s="1" t="s">
        <v>250</v>
      </c>
      <c r="B122" s="2">
        <v>1</v>
      </c>
      <c r="C122" s="1">
        <v>7483</v>
      </c>
      <c r="D122" t="s">
        <v>259</v>
      </c>
    </row>
    <row r="123" spans="1:4" x14ac:dyDescent="0.2">
      <c r="A123" s="1" t="s">
        <v>251</v>
      </c>
      <c r="B123" s="2">
        <v>2</v>
      </c>
      <c r="C123" s="1">
        <v>310709</v>
      </c>
      <c r="D123" t="s">
        <v>259</v>
      </c>
    </row>
    <row r="124" spans="1:4" x14ac:dyDescent="0.2">
      <c r="A124" s="1" t="s">
        <v>203</v>
      </c>
      <c r="B124" s="2">
        <v>168</v>
      </c>
      <c r="C124" s="1">
        <v>5545</v>
      </c>
      <c r="D124" t="s">
        <v>260</v>
      </c>
    </row>
    <row r="125" spans="1:4" x14ac:dyDescent="0.2">
      <c r="A125" s="1" t="s">
        <v>204</v>
      </c>
      <c r="B125" s="2">
        <v>58</v>
      </c>
      <c r="C125" s="1">
        <v>9485</v>
      </c>
      <c r="D125" t="s">
        <v>260</v>
      </c>
    </row>
    <row r="126" spans="1:4" x14ac:dyDescent="0.2">
      <c r="A126" s="1" t="s">
        <v>205</v>
      </c>
      <c r="B126" s="2">
        <v>50</v>
      </c>
      <c r="C126" s="1">
        <v>130945</v>
      </c>
      <c r="D126" t="s">
        <v>260</v>
      </c>
    </row>
    <row r="127" spans="1:4" x14ac:dyDescent="0.2">
      <c r="A127" s="1" t="s">
        <v>206</v>
      </c>
      <c r="B127" s="2">
        <v>66</v>
      </c>
      <c r="C127" s="1">
        <v>284085</v>
      </c>
      <c r="D127" t="s">
        <v>260</v>
      </c>
    </row>
    <row r="128" spans="1:4" x14ac:dyDescent="0.2">
      <c r="A128" s="1" t="s">
        <v>207</v>
      </c>
      <c r="B128" s="2">
        <v>253</v>
      </c>
      <c r="C128" s="1">
        <v>245862</v>
      </c>
      <c r="D128" t="s">
        <v>260</v>
      </c>
    </row>
    <row r="129" spans="1:4" x14ac:dyDescent="0.2">
      <c r="A129" s="1" t="s">
        <v>208</v>
      </c>
      <c r="B129" s="2">
        <v>213</v>
      </c>
      <c r="C129" s="1">
        <v>520118</v>
      </c>
      <c r="D129" t="s">
        <v>260</v>
      </c>
    </row>
    <row r="130" spans="1:4" x14ac:dyDescent="0.2">
      <c r="A130" s="1" t="s">
        <v>209</v>
      </c>
      <c r="B130" s="2">
        <v>491</v>
      </c>
      <c r="C130" s="1">
        <v>58396</v>
      </c>
      <c r="D130" t="s">
        <v>260</v>
      </c>
    </row>
    <row r="131" spans="1:4" x14ac:dyDescent="0.2">
      <c r="A131" s="1" t="s">
        <v>252</v>
      </c>
      <c r="B131" s="2">
        <v>2</v>
      </c>
      <c r="C131" s="1">
        <v>14668</v>
      </c>
      <c r="D131" t="s">
        <v>259</v>
      </c>
    </row>
    <row r="132" spans="1:4" x14ac:dyDescent="0.2">
      <c r="A132" s="1" t="s">
        <v>253</v>
      </c>
      <c r="B132" s="2">
        <v>7</v>
      </c>
      <c r="C132" s="1">
        <v>2086</v>
      </c>
      <c r="D132" t="s">
        <v>259</v>
      </c>
    </row>
    <row r="133" spans="1:4" x14ac:dyDescent="0.2">
      <c r="A133" s="1" t="s">
        <v>210</v>
      </c>
      <c r="B133" s="2">
        <v>519</v>
      </c>
      <c r="C133" s="1">
        <v>646607</v>
      </c>
      <c r="D133" t="s">
        <v>260</v>
      </c>
    </row>
    <row r="134" spans="1:4" x14ac:dyDescent="0.2">
      <c r="A134" s="1" t="s">
        <v>211</v>
      </c>
      <c r="B134" s="2">
        <v>813</v>
      </c>
      <c r="C134" s="1">
        <v>805874</v>
      </c>
      <c r="D134" t="s">
        <v>260</v>
      </c>
    </row>
    <row r="135" spans="1:4" x14ac:dyDescent="0.2">
      <c r="A135" s="1" t="s">
        <v>212</v>
      </c>
      <c r="B135" s="2">
        <v>111</v>
      </c>
      <c r="C135" s="1">
        <v>110272</v>
      </c>
      <c r="D135" t="s">
        <v>260</v>
      </c>
    </row>
    <row r="136" spans="1:4" x14ac:dyDescent="0.2">
      <c r="A136" s="1" t="s">
        <v>254</v>
      </c>
      <c r="B136" s="2">
        <v>4</v>
      </c>
      <c r="C136" s="1">
        <v>2704</v>
      </c>
      <c r="D136" t="s">
        <v>259</v>
      </c>
    </row>
    <row r="137" spans="1:4" x14ac:dyDescent="0.2">
      <c r="A137" s="1" t="s">
        <v>255</v>
      </c>
      <c r="B137" s="2">
        <v>8</v>
      </c>
      <c r="C137" s="1">
        <v>3100</v>
      </c>
      <c r="D137" t="s">
        <v>259</v>
      </c>
    </row>
    <row r="138" spans="1:4" x14ac:dyDescent="0.2">
      <c r="A138" s="1" t="s">
        <v>213</v>
      </c>
      <c r="B138" s="2">
        <v>68</v>
      </c>
      <c r="C138" s="1">
        <v>1692</v>
      </c>
      <c r="D138" t="s">
        <v>260</v>
      </c>
    </row>
    <row r="139" spans="1:4" x14ac:dyDescent="0.2">
      <c r="A139" s="1" t="s">
        <v>256</v>
      </c>
      <c r="B139" s="2">
        <v>67</v>
      </c>
      <c r="C139" s="1">
        <v>175430</v>
      </c>
      <c r="D139" t="s">
        <v>259</v>
      </c>
    </row>
    <row r="140" spans="1:4" x14ac:dyDescent="0.2">
      <c r="A140" s="1" t="s">
        <v>214</v>
      </c>
      <c r="B140" s="2">
        <v>21</v>
      </c>
      <c r="C140" s="1">
        <v>6632</v>
      </c>
      <c r="D140" t="s">
        <v>260</v>
      </c>
    </row>
    <row r="141" spans="1:4" x14ac:dyDescent="0.2">
      <c r="A141" s="1" t="s">
        <v>215</v>
      </c>
      <c r="B141" s="2">
        <v>241</v>
      </c>
      <c r="C141" s="1">
        <v>23730</v>
      </c>
      <c r="D141" t="s">
        <v>260</v>
      </c>
    </row>
    <row r="142" spans="1:4" x14ac:dyDescent="0.2">
      <c r="A142" s="1" t="s">
        <v>257</v>
      </c>
      <c r="B142" s="2">
        <v>10</v>
      </c>
      <c r="C142" s="1">
        <v>29886</v>
      </c>
      <c r="D142" t="s">
        <v>259</v>
      </c>
    </row>
    <row r="143" spans="1:4" x14ac:dyDescent="0.2">
      <c r="A143" s="1" t="s">
        <v>216</v>
      </c>
      <c r="B143" s="2">
        <v>36</v>
      </c>
      <c r="C143" s="1">
        <v>141771</v>
      </c>
      <c r="D143" t="s">
        <v>260</v>
      </c>
    </row>
    <row r="144" spans="1:4" x14ac:dyDescent="0.2">
      <c r="A144" s="1" t="s">
        <v>217</v>
      </c>
      <c r="B144" s="2">
        <v>69</v>
      </c>
      <c r="C144" s="1">
        <v>151775</v>
      </c>
      <c r="D144" t="s">
        <v>260</v>
      </c>
    </row>
    <row r="145" spans="1:4" x14ac:dyDescent="0.2">
      <c r="A145" s="1" t="s">
        <v>218</v>
      </c>
      <c r="B145" s="2">
        <v>340</v>
      </c>
      <c r="C145" s="1">
        <v>1599939</v>
      </c>
      <c r="D145" t="s">
        <v>260</v>
      </c>
    </row>
    <row r="146" spans="1:4" x14ac:dyDescent="0.2">
      <c r="A146" s="1" t="s">
        <v>219</v>
      </c>
      <c r="B146" s="2">
        <v>94</v>
      </c>
      <c r="C146" s="1">
        <v>164127</v>
      </c>
      <c r="D146" t="s">
        <v>260</v>
      </c>
    </row>
    <row r="147" spans="1:4" x14ac:dyDescent="0.2">
      <c r="A147" s="1" t="s">
        <v>220</v>
      </c>
      <c r="B147" s="2">
        <v>269</v>
      </c>
      <c r="C147" s="1">
        <v>94696</v>
      </c>
      <c r="D147" t="s">
        <v>260</v>
      </c>
    </row>
    <row r="148" spans="1:4" x14ac:dyDescent="0.2">
      <c r="A148" s="1" t="s">
        <v>258</v>
      </c>
      <c r="B148" s="2">
        <v>6</v>
      </c>
      <c r="C148" s="1">
        <v>4986</v>
      </c>
      <c r="D148" t="s">
        <v>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A2FD-A790-C644-AC6F-DDB38BD90E91}">
  <dimension ref="A1:H111"/>
  <sheetViews>
    <sheetView tabSelected="1" topLeftCell="C65" workbookViewId="0">
      <selection activeCell="E100" sqref="E100"/>
    </sheetView>
  </sheetViews>
  <sheetFormatPr baseColWidth="10" defaultRowHeight="16" x14ac:dyDescent="0.2"/>
  <cols>
    <col min="1" max="1" width="10.33203125" bestFit="1" customWidth="1"/>
    <col min="2" max="2" width="25.1640625" bestFit="1" customWidth="1"/>
    <col min="3" max="3" width="17.33203125" bestFit="1" customWidth="1"/>
    <col min="4" max="4" width="35.5" bestFit="1" customWidth="1"/>
    <col min="5" max="5" width="40.33203125" bestFit="1" customWidth="1"/>
    <col min="6" max="6" width="120.6640625" customWidth="1"/>
    <col min="7" max="7" width="112.83203125" bestFit="1" customWidth="1"/>
    <col min="9" max="9" width="10.33203125" bestFit="1" customWidth="1"/>
  </cols>
  <sheetData>
    <row r="1" spans="1:7" x14ac:dyDescent="0.2">
      <c r="A1" s="6" t="s">
        <v>894</v>
      </c>
    </row>
    <row r="2" spans="1:7" s="8" customFormat="1" x14ac:dyDescent="0.2">
      <c r="A2" s="8" t="s">
        <v>0</v>
      </c>
      <c r="B2" s="8" t="s">
        <v>883</v>
      </c>
      <c r="C2" s="8" t="s">
        <v>884</v>
      </c>
      <c r="D2" s="8" t="s">
        <v>888</v>
      </c>
      <c r="E2" s="8" t="s">
        <v>335</v>
      </c>
      <c r="F2" s="8" t="s">
        <v>890</v>
      </c>
      <c r="G2" s="8" t="s">
        <v>336</v>
      </c>
    </row>
    <row r="3" spans="1:7" x14ac:dyDescent="0.2">
      <c r="A3" t="s">
        <v>112</v>
      </c>
      <c r="B3">
        <v>52</v>
      </c>
      <c r="C3">
        <v>9913</v>
      </c>
      <c r="D3" t="s">
        <v>617</v>
      </c>
      <c r="E3" t="s">
        <v>337</v>
      </c>
      <c r="F3" t="s">
        <v>338</v>
      </c>
      <c r="G3" t="s">
        <v>339</v>
      </c>
    </row>
    <row r="4" spans="1:7" x14ac:dyDescent="0.2">
      <c r="A4" t="s">
        <v>113</v>
      </c>
      <c r="B4">
        <v>11235</v>
      </c>
      <c r="C4">
        <v>1705436</v>
      </c>
      <c r="D4" t="s">
        <v>617</v>
      </c>
      <c r="E4" t="s">
        <v>340</v>
      </c>
      <c r="F4" t="s">
        <v>341</v>
      </c>
      <c r="G4" t="s">
        <v>342</v>
      </c>
    </row>
    <row r="5" spans="1:7" x14ac:dyDescent="0.2">
      <c r="A5" t="s">
        <v>114</v>
      </c>
      <c r="B5">
        <v>22</v>
      </c>
      <c r="C5">
        <v>94085</v>
      </c>
      <c r="D5" t="s">
        <v>617</v>
      </c>
      <c r="E5" s="3" t="s">
        <v>343</v>
      </c>
      <c r="F5" t="s">
        <v>344</v>
      </c>
      <c r="G5" t="s">
        <v>345</v>
      </c>
    </row>
    <row r="6" spans="1:7" x14ac:dyDescent="0.2">
      <c r="A6" t="s">
        <v>115</v>
      </c>
      <c r="B6">
        <v>19</v>
      </c>
      <c r="C6">
        <v>50851</v>
      </c>
      <c r="D6" t="s">
        <v>617</v>
      </c>
      <c r="E6" s="3" t="s">
        <v>346</v>
      </c>
      <c r="F6" t="s">
        <v>347</v>
      </c>
      <c r="G6" t="s">
        <v>348</v>
      </c>
    </row>
    <row r="7" spans="1:7" x14ac:dyDescent="0.2">
      <c r="A7" t="s">
        <v>116</v>
      </c>
      <c r="B7">
        <v>321</v>
      </c>
      <c r="C7">
        <v>503198</v>
      </c>
      <c r="D7" t="s">
        <v>617</v>
      </c>
      <c r="E7" s="3" t="s">
        <v>349</v>
      </c>
      <c r="F7" t="s">
        <v>350</v>
      </c>
      <c r="G7" t="s">
        <v>351</v>
      </c>
    </row>
    <row r="8" spans="1:7" x14ac:dyDescent="0.2">
      <c r="A8" t="s">
        <v>117</v>
      </c>
      <c r="B8">
        <v>41</v>
      </c>
      <c r="C8">
        <v>99709</v>
      </c>
      <c r="D8" t="s">
        <v>617</v>
      </c>
      <c r="E8" s="3" t="s">
        <v>352</v>
      </c>
      <c r="F8" t="s">
        <v>353</v>
      </c>
      <c r="G8" t="s">
        <v>354</v>
      </c>
    </row>
    <row r="9" spans="1:7" x14ac:dyDescent="0.2">
      <c r="A9" t="s">
        <v>118</v>
      </c>
      <c r="B9">
        <v>20</v>
      </c>
      <c r="C9">
        <v>67956</v>
      </c>
      <c r="D9" t="s">
        <v>617</v>
      </c>
      <c r="E9" s="3" t="s">
        <v>352</v>
      </c>
      <c r="F9" t="s">
        <v>353</v>
      </c>
      <c r="G9" t="s">
        <v>354</v>
      </c>
    </row>
    <row r="10" spans="1:7" x14ac:dyDescent="0.2">
      <c r="A10" t="s">
        <v>119</v>
      </c>
      <c r="B10">
        <v>494</v>
      </c>
      <c r="C10">
        <v>2690256</v>
      </c>
      <c r="D10" t="s">
        <v>617</v>
      </c>
      <c r="E10" s="3" t="s">
        <v>355</v>
      </c>
      <c r="F10" t="s">
        <v>356</v>
      </c>
      <c r="G10" t="s">
        <v>357</v>
      </c>
    </row>
    <row r="11" spans="1:7" x14ac:dyDescent="0.2">
      <c r="A11" t="s">
        <v>120</v>
      </c>
      <c r="B11">
        <v>16</v>
      </c>
      <c r="C11">
        <v>101366</v>
      </c>
      <c r="D11" t="s">
        <v>617</v>
      </c>
      <c r="E11" t="s">
        <v>358</v>
      </c>
      <c r="F11" t="s">
        <v>359</v>
      </c>
      <c r="G11" t="s">
        <v>360</v>
      </c>
    </row>
    <row r="12" spans="1:7" x14ac:dyDescent="0.2">
      <c r="A12" t="s">
        <v>121</v>
      </c>
      <c r="B12">
        <v>469</v>
      </c>
      <c r="C12">
        <v>1189954</v>
      </c>
      <c r="D12" t="s">
        <v>617</v>
      </c>
      <c r="E12" s="3" t="s">
        <v>361</v>
      </c>
      <c r="F12" t="s">
        <v>362</v>
      </c>
      <c r="G12" t="s">
        <v>363</v>
      </c>
    </row>
    <row r="13" spans="1:7" x14ac:dyDescent="0.2">
      <c r="A13" t="s">
        <v>124</v>
      </c>
      <c r="B13">
        <v>710</v>
      </c>
      <c r="C13">
        <v>192414</v>
      </c>
      <c r="D13" t="s">
        <v>617</v>
      </c>
      <c r="E13" t="s">
        <v>370</v>
      </c>
      <c r="F13" t="s">
        <v>371</v>
      </c>
      <c r="G13" t="s">
        <v>372</v>
      </c>
    </row>
    <row r="14" spans="1:7" x14ac:dyDescent="0.2">
      <c r="A14" t="s">
        <v>125</v>
      </c>
      <c r="B14">
        <v>24</v>
      </c>
      <c r="C14">
        <v>440</v>
      </c>
      <c r="D14" t="s">
        <v>617</v>
      </c>
      <c r="E14" t="s">
        <v>373</v>
      </c>
      <c r="F14" t="s">
        <v>374</v>
      </c>
      <c r="G14" t="s">
        <v>375</v>
      </c>
    </row>
    <row r="15" spans="1:7" x14ac:dyDescent="0.2">
      <c r="A15" t="s">
        <v>126</v>
      </c>
      <c r="B15">
        <v>117</v>
      </c>
      <c r="C15">
        <v>167998</v>
      </c>
      <c r="D15" t="s">
        <v>617</v>
      </c>
      <c r="E15" s="3" t="s">
        <v>376</v>
      </c>
      <c r="F15" t="s">
        <v>377</v>
      </c>
      <c r="G15" t="s">
        <v>378</v>
      </c>
    </row>
    <row r="16" spans="1:7" x14ac:dyDescent="0.2">
      <c r="A16" t="s">
        <v>127</v>
      </c>
      <c r="B16">
        <v>97</v>
      </c>
      <c r="C16">
        <v>663743</v>
      </c>
      <c r="D16" t="s">
        <v>617</v>
      </c>
      <c r="E16" s="3" t="s">
        <v>379</v>
      </c>
      <c r="F16" t="s">
        <v>380</v>
      </c>
      <c r="G16" t="s">
        <v>381</v>
      </c>
    </row>
    <row r="17" spans="1:7" x14ac:dyDescent="0.2">
      <c r="A17" t="s">
        <v>128</v>
      </c>
      <c r="B17">
        <v>103</v>
      </c>
      <c r="C17">
        <v>254261</v>
      </c>
      <c r="D17" t="s">
        <v>617</v>
      </c>
      <c r="E17" t="s">
        <v>382</v>
      </c>
      <c r="F17" t="s">
        <v>383</v>
      </c>
      <c r="G17" s="5" t="s">
        <v>384</v>
      </c>
    </row>
    <row r="18" spans="1:7" x14ac:dyDescent="0.2">
      <c r="A18" t="s">
        <v>130</v>
      </c>
      <c r="B18">
        <v>91</v>
      </c>
      <c r="C18">
        <v>358820</v>
      </c>
      <c r="D18" t="s">
        <v>617</v>
      </c>
      <c r="E18" t="s">
        <v>388</v>
      </c>
      <c r="F18" t="s">
        <v>389</v>
      </c>
      <c r="G18" t="s">
        <v>390</v>
      </c>
    </row>
    <row r="19" spans="1:7" x14ac:dyDescent="0.2">
      <c r="A19" t="s">
        <v>132</v>
      </c>
      <c r="B19">
        <v>223</v>
      </c>
      <c r="C19">
        <v>94959</v>
      </c>
      <c r="D19" t="s">
        <v>617</v>
      </c>
      <c r="E19" t="s">
        <v>394</v>
      </c>
      <c r="F19" t="s">
        <v>395</v>
      </c>
      <c r="G19" t="s">
        <v>396</v>
      </c>
    </row>
    <row r="20" spans="1:7" x14ac:dyDescent="0.2">
      <c r="A20" t="s">
        <v>133</v>
      </c>
      <c r="B20">
        <v>121</v>
      </c>
      <c r="C20">
        <v>520288</v>
      </c>
      <c r="D20" t="s">
        <v>617</v>
      </c>
      <c r="E20" t="s">
        <v>397</v>
      </c>
      <c r="F20" t="s">
        <v>398</v>
      </c>
      <c r="G20" t="s">
        <v>399</v>
      </c>
    </row>
    <row r="21" spans="1:7" x14ac:dyDescent="0.2">
      <c r="A21" t="s">
        <v>134</v>
      </c>
      <c r="B21">
        <v>96</v>
      </c>
      <c r="C21">
        <v>1667</v>
      </c>
      <c r="D21" t="s">
        <v>617</v>
      </c>
      <c r="E21" t="s">
        <v>400</v>
      </c>
      <c r="F21" t="s">
        <v>401</v>
      </c>
      <c r="G21" t="s">
        <v>402</v>
      </c>
    </row>
    <row r="22" spans="1:7" x14ac:dyDescent="0.2">
      <c r="A22" t="s">
        <v>135</v>
      </c>
      <c r="B22">
        <v>47</v>
      </c>
      <c r="C22">
        <v>190287</v>
      </c>
      <c r="D22" t="s">
        <v>617</v>
      </c>
      <c r="E22" s="3" t="s">
        <v>403</v>
      </c>
      <c r="F22" t="s">
        <v>404</v>
      </c>
      <c r="G22" t="s">
        <v>405</v>
      </c>
    </row>
    <row r="23" spans="1:7" x14ac:dyDescent="0.2">
      <c r="A23" t="s">
        <v>136</v>
      </c>
      <c r="B23">
        <v>100</v>
      </c>
      <c r="C23">
        <v>74252</v>
      </c>
      <c r="D23" t="s">
        <v>617</v>
      </c>
      <c r="E23" s="3" t="s">
        <v>406</v>
      </c>
      <c r="F23" t="s">
        <v>407</v>
      </c>
    </row>
    <row r="24" spans="1:7" x14ac:dyDescent="0.2">
      <c r="A24" t="s">
        <v>137</v>
      </c>
      <c r="B24">
        <v>61</v>
      </c>
      <c r="C24">
        <v>61992</v>
      </c>
      <c r="D24" t="s">
        <v>617</v>
      </c>
      <c r="E24" t="s">
        <v>382</v>
      </c>
      <c r="F24" t="s">
        <v>408</v>
      </c>
      <c r="G24" t="s">
        <v>409</v>
      </c>
    </row>
    <row r="25" spans="1:7" x14ac:dyDescent="0.2">
      <c r="A25" t="s">
        <v>138</v>
      </c>
      <c r="B25">
        <v>90</v>
      </c>
      <c r="C25">
        <v>253127</v>
      </c>
      <c r="D25" t="s">
        <v>617</v>
      </c>
      <c r="E25" t="s">
        <v>410</v>
      </c>
      <c r="F25" t="s">
        <v>411</v>
      </c>
      <c r="G25" t="s">
        <v>412</v>
      </c>
    </row>
    <row r="26" spans="1:7" x14ac:dyDescent="0.2">
      <c r="A26" t="s">
        <v>139</v>
      </c>
      <c r="B26">
        <v>418</v>
      </c>
      <c r="C26">
        <v>394387</v>
      </c>
      <c r="D26" t="s">
        <v>617</v>
      </c>
      <c r="E26" t="s">
        <v>413</v>
      </c>
      <c r="F26" t="s">
        <v>414</v>
      </c>
    </row>
    <row r="27" spans="1:7" x14ac:dyDescent="0.2">
      <c r="A27" t="s">
        <v>140</v>
      </c>
      <c r="B27">
        <v>12</v>
      </c>
      <c r="C27">
        <v>72058</v>
      </c>
      <c r="D27" t="s">
        <v>617</v>
      </c>
      <c r="E27" t="s">
        <v>415</v>
      </c>
      <c r="F27" t="s">
        <v>416</v>
      </c>
    </row>
    <row r="28" spans="1:7" x14ac:dyDescent="0.2">
      <c r="A28" t="s">
        <v>142</v>
      </c>
      <c r="B28">
        <v>1848</v>
      </c>
      <c r="C28">
        <v>939051</v>
      </c>
      <c r="D28" t="s">
        <v>617</v>
      </c>
      <c r="E28" t="s">
        <v>420</v>
      </c>
      <c r="F28" t="s">
        <v>421</v>
      </c>
      <c r="G28" t="s">
        <v>422</v>
      </c>
    </row>
    <row r="29" spans="1:7" x14ac:dyDescent="0.2">
      <c r="A29" t="s">
        <v>143</v>
      </c>
      <c r="B29">
        <v>504</v>
      </c>
      <c r="C29">
        <v>328577</v>
      </c>
      <c r="D29" t="s">
        <v>617</v>
      </c>
      <c r="E29" t="s">
        <v>382</v>
      </c>
      <c r="F29" t="s">
        <v>423</v>
      </c>
      <c r="G29" t="s">
        <v>424</v>
      </c>
    </row>
    <row r="30" spans="1:7" x14ac:dyDescent="0.2">
      <c r="A30" t="s">
        <v>144</v>
      </c>
      <c r="B30">
        <v>219</v>
      </c>
      <c r="C30">
        <v>244791</v>
      </c>
      <c r="D30" t="s">
        <v>617</v>
      </c>
      <c r="E30" s="3" t="s">
        <v>425</v>
      </c>
      <c r="F30" t="s">
        <v>426</v>
      </c>
    </row>
    <row r="31" spans="1:7" x14ac:dyDescent="0.2">
      <c r="A31" t="s">
        <v>145</v>
      </c>
      <c r="B31">
        <v>116</v>
      </c>
      <c r="C31">
        <v>73261</v>
      </c>
      <c r="D31" t="s">
        <v>617</v>
      </c>
      <c r="E31" s="3" t="s">
        <v>427</v>
      </c>
      <c r="F31" t="s">
        <v>428</v>
      </c>
    </row>
    <row r="32" spans="1:7" x14ac:dyDescent="0.2">
      <c r="A32" t="s">
        <v>146</v>
      </c>
      <c r="B32">
        <v>20</v>
      </c>
      <c r="C32">
        <v>9734</v>
      </c>
      <c r="D32" t="s">
        <v>617</v>
      </c>
      <c r="E32" t="s">
        <v>429</v>
      </c>
      <c r="F32" t="s">
        <v>430</v>
      </c>
    </row>
    <row r="33" spans="1:7" x14ac:dyDescent="0.2">
      <c r="A33" t="s">
        <v>149</v>
      </c>
      <c r="B33">
        <v>251</v>
      </c>
      <c r="C33">
        <v>262570</v>
      </c>
      <c r="D33" t="s">
        <v>617</v>
      </c>
      <c r="E33" s="3" t="s">
        <v>434</v>
      </c>
      <c r="F33" t="s">
        <v>435</v>
      </c>
    </row>
    <row r="34" spans="1:7" x14ac:dyDescent="0.2">
      <c r="A34" t="s">
        <v>150</v>
      </c>
      <c r="B34">
        <v>1239</v>
      </c>
      <c r="C34">
        <v>982343</v>
      </c>
      <c r="D34" t="s">
        <v>617</v>
      </c>
      <c r="E34" t="s">
        <v>436</v>
      </c>
      <c r="F34" t="s">
        <v>437</v>
      </c>
      <c r="G34" t="s">
        <v>438</v>
      </c>
    </row>
    <row r="35" spans="1:7" x14ac:dyDescent="0.2">
      <c r="A35" t="s">
        <v>151</v>
      </c>
      <c r="B35">
        <v>1013</v>
      </c>
      <c r="C35">
        <v>35184</v>
      </c>
      <c r="D35" t="s">
        <v>617</v>
      </c>
      <c r="E35" s="3" t="s">
        <v>439</v>
      </c>
      <c r="F35" t="s">
        <v>440</v>
      </c>
      <c r="G35" t="s">
        <v>438</v>
      </c>
    </row>
    <row r="36" spans="1:7" x14ac:dyDescent="0.2">
      <c r="A36" t="s">
        <v>153</v>
      </c>
      <c r="B36">
        <v>612</v>
      </c>
      <c r="C36">
        <v>155511</v>
      </c>
      <c r="D36" t="s">
        <v>617</v>
      </c>
      <c r="E36" t="s">
        <v>444</v>
      </c>
      <c r="F36" t="s">
        <v>445</v>
      </c>
    </row>
    <row r="37" spans="1:7" x14ac:dyDescent="0.2">
      <c r="A37" t="s">
        <v>154</v>
      </c>
      <c r="B37">
        <v>1347</v>
      </c>
      <c r="C37">
        <v>1006866</v>
      </c>
      <c r="D37" t="s">
        <v>617</v>
      </c>
      <c r="E37" s="3" t="s">
        <v>446</v>
      </c>
      <c r="F37" t="s">
        <v>447</v>
      </c>
    </row>
    <row r="38" spans="1:7" x14ac:dyDescent="0.2">
      <c r="A38" t="s">
        <v>156</v>
      </c>
      <c r="B38">
        <v>250</v>
      </c>
      <c r="C38">
        <v>58129</v>
      </c>
      <c r="D38" t="s">
        <v>617</v>
      </c>
      <c r="E38" s="3" t="s">
        <v>450</v>
      </c>
      <c r="F38" t="s">
        <v>451</v>
      </c>
    </row>
    <row r="39" spans="1:7" x14ac:dyDescent="0.2">
      <c r="A39" t="s">
        <v>157</v>
      </c>
      <c r="B39">
        <v>589</v>
      </c>
      <c r="C39">
        <v>302519</v>
      </c>
      <c r="D39" t="s">
        <v>617</v>
      </c>
      <c r="E39" t="s">
        <v>382</v>
      </c>
      <c r="F39" t="s">
        <v>452</v>
      </c>
    </row>
    <row r="40" spans="1:7" x14ac:dyDescent="0.2">
      <c r="A40" t="s">
        <v>158</v>
      </c>
      <c r="B40">
        <v>48</v>
      </c>
      <c r="C40">
        <v>267417</v>
      </c>
      <c r="D40" t="s">
        <v>617</v>
      </c>
      <c r="E40" t="s">
        <v>382</v>
      </c>
      <c r="F40" t="s">
        <v>453</v>
      </c>
    </row>
    <row r="41" spans="1:7" x14ac:dyDescent="0.2">
      <c r="A41" t="s">
        <v>159</v>
      </c>
      <c r="B41">
        <v>16569</v>
      </c>
      <c r="C41">
        <v>2969246</v>
      </c>
      <c r="D41" t="s">
        <v>617</v>
      </c>
      <c r="E41" t="s">
        <v>454</v>
      </c>
      <c r="F41" t="s">
        <v>455</v>
      </c>
    </row>
    <row r="42" spans="1:7" x14ac:dyDescent="0.2">
      <c r="A42" t="s">
        <v>160</v>
      </c>
      <c r="B42">
        <v>173</v>
      </c>
      <c r="C42">
        <v>4944</v>
      </c>
      <c r="D42" t="s">
        <v>617</v>
      </c>
      <c r="E42" s="3" t="s">
        <v>456</v>
      </c>
      <c r="F42" t="s">
        <v>457</v>
      </c>
      <c r="G42" t="s">
        <v>458</v>
      </c>
    </row>
    <row r="43" spans="1:7" x14ac:dyDescent="0.2">
      <c r="A43" t="s">
        <v>162</v>
      </c>
      <c r="B43">
        <v>677</v>
      </c>
      <c r="C43">
        <v>339542</v>
      </c>
      <c r="D43" t="s">
        <v>617</v>
      </c>
      <c r="E43" t="s">
        <v>460</v>
      </c>
      <c r="F43" t="s">
        <v>461</v>
      </c>
    </row>
    <row r="44" spans="1:7" x14ac:dyDescent="0.2">
      <c r="A44" t="s">
        <v>165</v>
      </c>
      <c r="B44">
        <v>138</v>
      </c>
      <c r="C44">
        <v>272878</v>
      </c>
      <c r="D44" t="s">
        <v>617</v>
      </c>
      <c r="E44" s="3" t="s">
        <v>465</v>
      </c>
      <c r="F44" t="s">
        <v>466</v>
      </c>
    </row>
    <row r="45" spans="1:7" x14ac:dyDescent="0.2">
      <c r="A45" t="s">
        <v>166</v>
      </c>
      <c r="B45">
        <v>33</v>
      </c>
      <c r="C45">
        <v>187203</v>
      </c>
      <c r="D45" t="s">
        <v>617</v>
      </c>
      <c r="E45" s="3" t="s">
        <v>467</v>
      </c>
      <c r="F45" t="s">
        <v>468</v>
      </c>
    </row>
    <row r="46" spans="1:7" x14ac:dyDescent="0.2">
      <c r="A46" t="s">
        <v>169</v>
      </c>
      <c r="B46">
        <v>163</v>
      </c>
      <c r="C46">
        <v>97700</v>
      </c>
      <c r="D46" t="s">
        <v>617</v>
      </c>
      <c r="E46" t="s">
        <v>382</v>
      </c>
      <c r="F46" t="s">
        <v>473</v>
      </c>
    </row>
    <row r="47" spans="1:7" x14ac:dyDescent="0.2">
      <c r="A47" t="s">
        <v>171</v>
      </c>
      <c r="B47">
        <v>73</v>
      </c>
      <c r="C47">
        <v>61943</v>
      </c>
      <c r="D47" t="s">
        <v>617</v>
      </c>
      <c r="E47" s="3" t="s">
        <v>476</v>
      </c>
      <c r="F47" t="s">
        <v>477</v>
      </c>
      <c r="G47" t="s">
        <v>458</v>
      </c>
    </row>
    <row r="48" spans="1:7" x14ac:dyDescent="0.2">
      <c r="A48" t="s">
        <v>173</v>
      </c>
      <c r="B48">
        <v>80</v>
      </c>
      <c r="C48">
        <v>639075</v>
      </c>
      <c r="D48" t="s">
        <v>617</v>
      </c>
      <c r="E48" s="3" t="s">
        <v>480</v>
      </c>
      <c r="F48" t="s">
        <v>481</v>
      </c>
    </row>
    <row r="49" spans="1:7" x14ac:dyDescent="0.2">
      <c r="A49" t="s">
        <v>175</v>
      </c>
      <c r="B49">
        <v>52</v>
      </c>
      <c r="C49">
        <v>224641</v>
      </c>
      <c r="D49" t="s">
        <v>617</v>
      </c>
      <c r="E49" t="s">
        <v>382</v>
      </c>
      <c r="F49" t="s">
        <v>483</v>
      </c>
    </row>
    <row r="50" spans="1:7" x14ac:dyDescent="0.2">
      <c r="A50" t="s">
        <v>176</v>
      </c>
      <c r="B50">
        <v>14</v>
      </c>
      <c r="C50">
        <v>4754</v>
      </c>
      <c r="D50" t="s">
        <v>617</v>
      </c>
      <c r="E50" t="s">
        <v>382</v>
      </c>
      <c r="F50" t="s">
        <v>484</v>
      </c>
      <c r="G50" t="s">
        <v>458</v>
      </c>
    </row>
    <row r="51" spans="1:7" x14ac:dyDescent="0.2">
      <c r="A51" t="s">
        <v>177</v>
      </c>
      <c r="B51">
        <v>537</v>
      </c>
      <c r="C51">
        <v>572707</v>
      </c>
      <c r="D51" t="s">
        <v>617</v>
      </c>
      <c r="E51" t="s">
        <v>382</v>
      </c>
      <c r="F51" t="s">
        <v>485</v>
      </c>
    </row>
    <row r="52" spans="1:7" x14ac:dyDescent="0.2">
      <c r="A52" t="s">
        <v>178</v>
      </c>
      <c r="B52">
        <v>410</v>
      </c>
      <c r="C52">
        <v>119431</v>
      </c>
      <c r="D52" t="s">
        <v>617</v>
      </c>
      <c r="E52" s="3" t="s">
        <v>486</v>
      </c>
      <c r="F52" t="s">
        <v>487</v>
      </c>
      <c r="G52" t="s">
        <v>393</v>
      </c>
    </row>
    <row r="53" spans="1:7" x14ac:dyDescent="0.2">
      <c r="A53" t="s">
        <v>179</v>
      </c>
      <c r="B53">
        <v>2756</v>
      </c>
      <c r="C53">
        <v>191343</v>
      </c>
      <c r="D53" t="s">
        <v>617</v>
      </c>
      <c r="E53" s="3" t="s">
        <v>488</v>
      </c>
      <c r="F53" t="s">
        <v>489</v>
      </c>
      <c r="G53" t="s">
        <v>458</v>
      </c>
    </row>
    <row r="54" spans="1:7" x14ac:dyDescent="0.2">
      <c r="A54" t="s">
        <v>180</v>
      </c>
      <c r="B54">
        <v>101</v>
      </c>
      <c r="C54">
        <v>18288</v>
      </c>
      <c r="D54" t="s">
        <v>617</v>
      </c>
      <c r="E54" s="3" t="s">
        <v>488</v>
      </c>
      <c r="F54" t="s">
        <v>490</v>
      </c>
      <c r="G54" t="s">
        <v>458</v>
      </c>
    </row>
    <row r="55" spans="1:7" x14ac:dyDescent="0.2">
      <c r="A55" t="s">
        <v>183</v>
      </c>
      <c r="B55">
        <v>898</v>
      </c>
      <c r="C55">
        <v>489563</v>
      </c>
      <c r="D55" t="s">
        <v>617</v>
      </c>
      <c r="E55" t="s">
        <v>382</v>
      </c>
      <c r="F55" t="s">
        <v>492</v>
      </c>
    </row>
    <row r="56" spans="1:7" x14ac:dyDescent="0.2">
      <c r="A56" t="s">
        <v>184</v>
      </c>
      <c r="B56">
        <v>67</v>
      </c>
      <c r="C56">
        <v>114075</v>
      </c>
      <c r="D56" t="s">
        <v>617</v>
      </c>
      <c r="E56" t="s">
        <v>382</v>
      </c>
      <c r="F56" t="s">
        <v>493</v>
      </c>
    </row>
    <row r="57" spans="1:7" x14ac:dyDescent="0.2">
      <c r="A57" t="s">
        <v>186</v>
      </c>
      <c r="B57">
        <v>6473</v>
      </c>
      <c r="C57">
        <v>1410477</v>
      </c>
      <c r="D57" t="s">
        <v>617</v>
      </c>
      <c r="E57" t="s">
        <v>382</v>
      </c>
      <c r="F57" t="s">
        <v>496</v>
      </c>
    </row>
    <row r="58" spans="1:7" x14ac:dyDescent="0.2">
      <c r="A58" t="s">
        <v>187</v>
      </c>
      <c r="B58">
        <v>150</v>
      </c>
      <c r="C58">
        <v>33898</v>
      </c>
      <c r="D58" t="s">
        <v>617</v>
      </c>
      <c r="E58" s="3" t="s">
        <v>497</v>
      </c>
      <c r="F58" t="s">
        <v>498</v>
      </c>
      <c r="G58" t="s">
        <v>499</v>
      </c>
    </row>
    <row r="59" spans="1:7" x14ac:dyDescent="0.2">
      <c r="A59" t="s">
        <v>188</v>
      </c>
      <c r="B59">
        <v>92</v>
      </c>
      <c r="C59">
        <v>237837</v>
      </c>
      <c r="D59" t="s">
        <v>617</v>
      </c>
      <c r="E59" t="s">
        <v>382</v>
      </c>
      <c r="F59" t="s">
        <v>500</v>
      </c>
    </row>
    <row r="60" spans="1:7" x14ac:dyDescent="0.2">
      <c r="A60" t="s">
        <v>190</v>
      </c>
      <c r="B60">
        <v>11</v>
      </c>
      <c r="C60">
        <v>57117</v>
      </c>
      <c r="D60" t="s">
        <v>617</v>
      </c>
      <c r="E60" t="s">
        <v>382</v>
      </c>
      <c r="F60" t="s">
        <v>503</v>
      </c>
    </row>
    <row r="61" spans="1:7" x14ac:dyDescent="0.2">
      <c r="A61" t="s">
        <v>191</v>
      </c>
      <c r="B61">
        <v>125</v>
      </c>
      <c r="C61">
        <v>145913</v>
      </c>
      <c r="D61" t="s">
        <v>617</v>
      </c>
      <c r="E61" t="s">
        <v>382</v>
      </c>
      <c r="F61" t="s">
        <v>504</v>
      </c>
      <c r="G61" t="s">
        <v>505</v>
      </c>
    </row>
    <row r="62" spans="1:7" x14ac:dyDescent="0.2">
      <c r="A62" t="s">
        <v>193</v>
      </c>
      <c r="B62">
        <v>72</v>
      </c>
      <c r="C62">
        <v>88724</v>
      </c>
      <c r="D62" t="s">
        <v>617</v>
      </c>
      <c r="E62" t="s">
        <v>382</v>
      </c>
      <c r="F62" t="s">
        <v>509</v>
      </c>
    </row>
    <row r="63" spans="1:7" x14ac:dyDescent="0.2">
      <c r="A63" t="s">
        <v>194</v>
      </c>
      <c r="B63">
        <v>1871</v>
      </c>
      <c r="C63">
        <v>379638</v>
      </c>
      <c r="D63" t="s">
        <v>617</v>
      </c>
      <c r="E63" t="s">
        <v>382</v>
      </c>
      <c r="F63" t="s">
        <v>510</v>
      </c>
    </row>
    <row r="64" spans="1:7" x14ac:dyDescent="0.2">
      <c r="A64" t="s">
        <v>195</v>
      </c>
      <c r="B64">
        <v>213</v>
      </c>
      <c r="C64">
        <v>662926</v>
      </c>
      <c r="D64" t="s">
        <v>617</v>
      </c>
      <c r="E64" s="3" t="s">
        <v>511</v>
      </c>
      <c r="F64" t="s">
        <v>512</v>
      </c>
    </row>
    <row r="65" spans="1:7" x14ac:dyDescent="0.2">
      <c r="A65" t="s">
        <v>196</v>
      </c>
      <c r="B65">
        <v>133</v>
      </c>
      <c r="C65">
        <v>255198</v>
      </c>
      <c r="D65" t="s">
        <v>617</v>
      </c>
      <c r="E65" t="s">
        <v>382</v>
      </c>
      <c r="F65" t="s">
        <v>513</v>
      </c>
      <c r="G65" s="5" t="s">
        <v>514</v>
      </c>
    </row>
    <row r="66" spans="1:7" x14ac:dyDescent="0.2">
      <c r="A66" t="s">
        <v>198</v>
      </c>
      <c r="B66">
        <v>191</v>
      </c>
      <c r="C66">
        <v>787928</v>
      </c>
      <c r="D66" t="s">
        <v>617</v>
      </c>
      <c r="E66" s="3" t="s">
        <v>517</v>
      </c>
      <c r="F66" t="s">
        <v>518</v>
      </c>
      <c r="G66" t="s">
        <v>519</v>
      </c>
    </row>
    <row r="67" spans="1:7" x14ac:dyDescent="0.2">
      <c r="A67" t="s">
        <v>199</v>
      </c>
      <c r="B67">
        <v>17</v>
      </c>
      <c r="C67">
        <v>91897</v>
      </c>
      <c r="D67" t="s">
        <v>617</v>
      </c>
      <c r="E67" s="3" t="s">
        <v>520</v>
      </c>
      <c r="F67" t="s">
        <v>521</v>
      </c>
    </row>
    <row r="68" spans="1:7" x14ac:dyDescent="0.2">
      <c r="A68" t="s">
        <v>201</v>
      </c>
      <c r="B68">
        <v>69</v>
      </c>
      <c r="C68">
        <v>334425</v>
      </c>
      <c r="D68" t="s">
        <v>617</v>
      </c>
      <c r="E68" s="3" t="s">
        <v>525</v>
      </c>
      <c r="F68" t="s">
        <v>526</v>
      </c>
    </row>
    <row r="69" spans="1:7" x14ac:dyDescent="0.2">
      <c r="A69" t="s">
        <v>202</v>
      </c>
      <c r="B69">
        <v>447</v>
      </c>
      <c r="C69">
        <v>780922</v>
      </c>
      <c r="D69" t="s">
        <v>617</v>
      </c>
      <c r="E69" s="3" t="s">
        <v>527</v>
      </c>
      <c r="F69" t="s">
        <v>528</v>
      </c>
      <c r="G69" t="s">
        <v>529</v>
      </c>
    </row>
    <row r="70" spans="1:7" x14ac:dyDescent="0.2">
      <c r="A70" t="s">
        <v>203</v>
      </c>
      <c r="B70">
        <v>168</v>
      </c>
      <c r="C70">
        <v>5545</v>
      </c>
      <c r="D70" t="s">
        <v>617</v>
      </c>
      <c r="E70" t="s">
        <v>382</v>
      </c>
      <c r="F70" t="s">
        <v>530</v>
      </c>
      <c r="G70" t="s">
        <v>458</v>
      </c>
    </row>
    <row r="71" spans="1:7" x14ac:dyDescent="0.2">
      <c r="A71" t="s">
        <v>204</v>
      </c>
      <c r="B71">
        <v>58</v>
      </c>
      <c r="C71">
        <v>9485</v>
      </c>
      <c r="D71" t="s">
        <v>617</v>
      </c>
      <c r="E71" t="s">
        <v>382</v>
      </c>
      <c r="F71" t="s">
        <v>531</v>
      </c>
      <c r="G71" t="s">
        <v>458</v>
      </c>
    </row>
    <row r="72" spans="1:7" x14ac:dyDescent="0.2">
      <c r="A72" t="s">
        <v>205</v>
      </c>
      <c r="B72">
        <v>50</v>
      </c>
      <c r="C72">
        <v>130945</v>
      </c>
      <c r="D72" t="s">
        <v>617</v>
      </c>
      <c r="E72" s="3" t="s">
        <v>532</v>
      </c>
      <c r="F72" t="s">
        <v>533</v>
      </c>
    </row>
    <row r="73" spans="1:7" x14ac:dyDescent="0.2">
      <c r="A73" t="s">
        <v>207</v>
      </c>
      <c r="B73">
        <v>253</v>
      </c>
      <c r="C73">
        <v>245862</v>
      </c>
      <c r="D73" t="s">
        <v>617</v>
      </c>
      <c r="E73" s="3" t="s">
        <v>535</v>
      </c>
      <c r="F73" t="s">
        <v>536</v>
      </c>
      <c r="G73" t="s">
        <v>537</v>
      </c>
    </row>
    <row r="74" spans="1:7" x14ac:dyDescent="0.2">
      <c r="A74" t="s">
        <v>208</v>
      </c>
      <c r="B74">
        <v>213</v>
      </c>
      <c r="C74">
        <v>520118</v>
      </c>
      <c r="D74" t="s">
        <v>617</v>
      </c>
      <c r="E74" t="s">
        <v>382</v>
      </c>
      <c r="F74" t="s">
        <v>538</v>
      </c>
      <c r="G74" t="s">
        <v>539</v>
      </c>
    </row>
    <row r="75" spans="1:7" x14ac:dyDescent="0.2">
      <c r="A75" t="s">
        <v>209</v>
      </c>
      <c r="B75">
        <v>491</v>
      </c>
      <c r="C75">
        <v>58396</v>
      </c>
      <c r="D75" t="s">
        <v>617</v>
      </c>
      <c r="E75" t="s">
        <v>382</v>
      </c>
      <c r="F75" t="s">
        <v>538</v>
      </c>
      <c r="G75" t="s">
        <v>539</v>
      </c>
    </row>
    <row r="76" spans="1:7" x14ac:dyDescent="0.2">
      <c r="A76" t="s">
        <v>210</v>
      </c>
      <c r="B76">
        <v>519</v>
      </c>
      <c r="C76">
        <v>646607</v>
      </c>
      <c r="D76" t="s">
        <v>617</v>
      </c>
      <c r="E76" s="3" t="s">
        <v>540</v>
      </c>
      <c r="F76" t="s">
        <v>541</v>
      </c>
    </row>
    <row r="77" spans="1:7" x14ac:dyDescent="0.2">
      <c r="A77" t="s">
        <v>211</v>
      </c>
      <c r="B77">
        <v>813</v>
      </c>
      <c r="C77">
        <v>805874</v>
      </c>
      <c r="D77" t="s">
        <v>617</v>
      </c>
      <c r="E77" t="s">
        <v>382</v>
      </c>
      <c r="F77" t="s">
        <v>542</v>
      </c>
      <c r="G77" t="s">
        <v>438</v>
      </c>
    </row>
    <row r="78" spans="1:7" x14ac:dyDescent="0.2">
      <c r="A78" t="s">
        <v>214</v>
      </c>
      <c r="B78">
        <v>21</v>
      </c>
      <c r="C78">
        <v>6632</v>
      </c>
      <c r="D78" t="s">
        <v>617</v>
      </c>
      <c r="E78" s="3" t="s">
        <v>547</v>
      </c>
      <c r="F78" t="s">
        <v>548</v>
      </c>
      <c r="G78" t="s">
        <v>549</v>
      </c>
    </row>
    <row r="79" spans="1:7" x14ac:dyDescent="0.2">
      <c r="A79" t="s">
        <v>215</v>
      </c>
      <c r="B79">
        <v>241</v>
      </c>
      <c r="C79">
        <v>23730</v>
      </c>
      <c r="D79" t="s">
        <v>617</v>
      </c>
      <c r="E79" s="3" t="s">
        <v>550</v>
      </c>
      <c r="F79" t="s">
        <v>551</v>
      </c>
      <c r="G79" t="s">
        <v>458</v>
      </c>
    </row>
    <row r="80" spans="1:7" x14ac:dyDescent="0.2">
      <c r="A80" t="s">
        <v>217</v>
      </c>
      <c r="B80">
        <v>69</v>
      </c>
      <c r="C80">
        <v>151775</v>
      </c>
      <c r="D80" t="s">
        <v>617</v>
      </c>
      <c r="E80" s="3" t="s">
        <v>554</v>
      </c>
      <c r="F80" t="s">
        <v>555</v>
      </c>
    </row>
    <row r="81" spans="1:7" x14ac:dyDescent="0.2">
      <c r="A81" t="s">
        <v>218</v>
      </c>
      <c r="B81">
        <v>340</v>
      </c>
      <c r="C81">
        <v>1599939</v>
      </c>
      <c r="D81" t="s">
        <v>617</v>
      </c>
      <c r="E81" s="3" t="s">
        <v>556</v>
      </c>
      <c r="F81" t="s">
        <v>557</v>
      </c>
    </row>
    <row r="82" spans="1:7" s="7" customFormat="1" x14ac:dyDescent="0.2">
      <c r="A82" s="7" t="s">
        <v>219</v>
      </c>
      <c r="B82" s="7">
        <v>94</v>
      </c>
      <c r="C82" s="7">
        <v>164127</v>
      </c>
      <c r="D82" s="7" t="s">
        <v>617</v>
      </c>
      <c r="E82" s="7" t="s">
        <v>382</v>
      </c>
      <c r="F82" s="7" t="s">
        <v>558</v>
      </c>
    </row>
    <row r="83" spans="1:7" x14ac:dyDescent="0.2">
      <c r="A83" t="s">
        <v>122</v>
      </c>
      <c r="B83">
        <v>58</v>
      </c>
      <c r="C83">
        <v>68018</v>
      </c>
      <c r="D83" t="s">
        <v>807</v>
      </c>
      <c r="E83" t="s">
        <v>364</v>
      </c>
      <c r="F83" t="s">
        <v>365</v>
      </c>
      <c r="G83" t="s">
        <v>366</v>
      </c>
    </row>
    <row r="84" spans="1:7" x14ac:dyDescent="0.2">
      <c r="A84" t="s">
        <v>123</v>
      </c>
      <c r="B84">
        <v>106</v>
      </c>
      <c r="C84">
        <v>148836</v>
      </c>
      <c r="D84" t="s">
        <v>807</v>
      </c>
      <c r="E84" t="s">
        <v>367</v>
      </c>
      <c r="F84" t="s">
        <v>368</v>
      </c>
      <c r="G84" t="s">
        <v>369</v>
      </c>
    </row>
    <row r="85" spans="1:7" x14ac:dyDescent="0.2">
      <c r="A85" t="s">
        <v>129</v>
      </c>
      <c r="B85">
        <v>1451</v>
      </c>
      <c r="C85">
        <v>537322</v>
      </c>
      <c r="D85" t="s">
        <v>807</v>
      </c>
      <c r="E85" t="s">
        <v>385</v>
      </c>
      <c r="F85" t="s">
        <v>386</v>
      </c>
      <c r="G85" t="s">
        <v>387</v>
      </c>
    </row>
    <row r="86" spans="1:7" x14ac:dyDescent="0.2">
      <c r="A86" t="s">
        <v>131</v>
      </c>
      <c r="B86">
        <v>33</v>
      </c>
      <c r="C86">
        <v>32865</v>
      </c>
      <c r="D86" t="s">
        <v>807</v>
      </c>
      <c r="E86" t="s">
        <v>391</v>
      </c>
      <c r="F86" t="s">
        <v>392</v>
      </c>
      <c r="G86" t="s">
        <v>393</v>
      </c>
    </row>
    <row r="87" spans="1:7" x14ac:dyDescent="0.2">
      <c r="A87" t="s">
        <v>141</v>
      </c>
      <c r="B87">
        <v>2057</v>
      </c>
      <c r="C87">
        <v>170336</v>
      </c>
      <c r="D87" t="s">
        <v>807</v>
      </c>
      <c r="E87" t="s">
        <v>417</v>
      </c>
      <c r="F87" t="s">
        <v>418</v>
      </c>
      <c r="G87" t="s">
        <v>419</v>
      </c>
    </row>
    <row r="88" spans="1:7" x14ac:dyDescent="0.2">
      <c r="A88" t="s">
        <v>147</v>
      </c>
      <c r="B88">
        <v>42293</v>
      </c>
      <c r="C88">
        <v>1400562</v>
      </c>
      <c r="D88" t="s">
        <v>807</v>
      </c>
      <c r="F88" t="s">
        <v>431</v>
      </c>
      <c r="G88" t="s">
        <v>432</v>
      </c>
    </row>
    <row r="89" spans="1:7" x14ac:dyDescent="0.2">
      <c r="A89" t="s">
        <v>148</v>
      </c>
      <c r="B89">
        <v>82</v>
      </c>
      <c r="C89">
        <v>35497</v>
      </c>
      <c r="D89" t="s">
        <v>807</v>
      </c>
      <c r="E89" t="s">
        <v>382</v>
      </c>
      <c r="F89" t="s">
        <v>433</v>
      </c>
      <c r="G89" t="s">
        <v>369</v>
      </c>
    </row>
    <row r="90" spans="1:7" x14ac:dyDescent="0.2">
      <c r="A90" t="s">
        <v>152</v>
      </c>
      <c r="B90">
        <v>358</v>
      </c>
      <c r="C90">
        <v>14749</v>
      </c>
      <c r="D90" t="s">
        <v>807</v>
      </c>
      <c r="E90" s="3" t="s">
        <v>441</v>
      </c>
      <c r="F90" t="s">
        <v>442</v>
      </c>
      <c r="G90" t="s">
        <v>443</v>
      </c>
    </row>
    <row r="91" spans="1:7" x14ac:dyDescent="0.2">
      <c r="A91" t="s">
        <v>155</v>
      </c>
      <c r="B91">
        <v>36</v>
      </c>
      <c r="C91">
        <v>531</v>
      </c>
      <c r="D91" t="s">
        <v>807</v>
      </c>
      <c r="E91" t="s">
        <v>382</v>
      </c>
      <c r="F91" t="s">
        <v>448</v>
      </c>
      <c r="G91" t="s">
        <v>449</v>
      </c>
    </row>
    <row r="92" spans="1:7" x14ac:dyDescent="0.2">
      <c r="A92" t="s">
        <v>161</v>
      </c>
      <c r="B92">
        <v>117</v>
      </c>
      <c r="C92">
        <v>23041</v>
      </c>
      <c r="D92" t="s">
        <v>807</v>
      </c>
      <c r="E92" t="s">
        <v>382</v>
      </c>
      <c r="F92" t="s">
        <v>459</v>
      </c>
    </row>
    <row r="93" spans="1:7" x14ac:dyDescent="0.2">
      <c r="A93" t="s">
        <v>163</v>
      </c>
      <c r="B93">
        <v>56</v>
      </c>
      <c r="C93">
        <v>1580829</v>
      </c>
      <c r="D93" t="s">
        <v>807</v>
      </c>
      <c r="E93" s="3" t="s">
        <v>462</v>
      </c>
      <c r="F93" t="s">
        <v>463</v>
      </c>
      <c r="G93" t="s">
        <v>464</v>
      </c>
    </row>
    <row r="94" spans="1:7" x14ac:dyDescent="0.2">
      <c r="A94" t="s">
        <v>164</v>
      </c>
      <c r="B94">
        <v>26</v>
      </c>
      <c r="C94">
        <v>1089674</v>
      </c>
      <c r="D94" t="s">
        <v>807</v>
      </c>
      <c r="E94" s="3" t="s">
        <v>462</v>
      </c>
      <c r="F94" t="s">
        <v>463</v>
      </c>
      <c r="G94" t="s">
        <v>464</v>
      </c>
    </row>
    <row r="95" spans="1:7" x14ac:dyDescent="0.2">
      <c r="A95" t="s">
        <v>167</v>
      </c>
      <c r="B95">
        <v>33</v>
      </c>
      <c r="C95">
        <v>12018</v>
      </c>
      <c r="D95" t="s">
        <v>807</v>
      </c>
      <c r="E95" s="3" t="s">
        <v>469</v>
      </c>
      <c r="F95" t="s">
        <v>470</v>
      </c>
      <c r="G95" t="s">
        <v>438</v>
      </c>
    </row>
    <row r="96" spans="1:7" x14ac:dyDescent="0.2">
      <c r="A96" t="s">
        <v>168</v>
      </c>
      <c r="B96">
        <v>1509</v>
      </c>
      <c r="C96">
        <v>191163</v>
      </c>
      <c r="D96" t="s">
        <v>807</v>
      </c>
      <c r="E96" s="3" t="s">
        <v>471</v>
      </c>
      <c r="F96" t="s">
        <v>472</v>
      </c>
      <c r="G96" t="s">
        <v>458</v>
      </c>
    </row>
    <row r="97" spans="1:8" x14ac:dyDescent="0.2">
      <c r="A97" t="s">
        <v>170</v>
      </c>
      <c r="B97">
        <v>125</v>
      </c>
      <c r="C97">
        <v>133592</v>
      </c>
      <c r="D97" t="s">
        <v>807</v>
      </c>
      <c r="E97" s="3" t="s">
        <v>474</v>
      </c>
      <c r="F97" t="s">
        <v>475</v>
      </c>
    </row>
    <row r="98" spans="1:8" x14ac:dyDescent="0.2">
      <c r="A98" t="s">
        <v>172</v>
      </c>
      <c r="B98">
        <v>695</v>
      </c>
      <c r="C98">
        <v>824175</v>
      </c>
      <c r="D98" t="s">
        <v>807</v>
      </c>
      <c r="E98" t="s">
        <v>382</v>
      </c>
      <c r="F98" t="s">
        <v>478</v>
      </c>
      <c r="G98" t="s">
        <v>479</v>
      </c>
    </row>
    <row r="99" spans="1:8" x14ac:dyDescent="0.2">
      <c r="A99" t="s">
        <v>174</v>
      </c>
      <c r="B99">
        <v>4584</v>
      </c>
      <c r="C99">
        <v>2549007</v>
      </c>
      <c r="D99" t="s">
        <v>807</v>
      </c>
      <c r="E99" s="3" t="s">
        <v>896</v>
      </c>
      <c r="F99" t="s">
        <v>482</v>
      </c>
      <c r="G99" t="s">
        <v>464</v>
      </c>
    </row>
    <row r="100" spans="1:8" x14ac:dyDescent="0.2">
      <c r="A100" t="s">
        <v>181</v>
      </c>
      <c r="B100">
        <v>4969</v>
      </c>
      <c r="C100">
        <v>577955</v>
      </c>
      <c r="D100" t="s">
        <v>807</v>
      </c>
      <c r="E100" s="3" t="s">
        <v>896</v>
      </c>
      <c r="F100" t="s">
        <v>482</v>
      </c>
      <c r="G100" t="s">
        <v>464</v>
      </c>
    </row>
    <row r="101" spans="1:8" x14ac:dyDescent="0.2">
      <c r="A101" t="s">
        <v>182</v>
      </c>
      <c r="B101">
        <v>23</v>
      </c>
      <c r="C101">
        <v>586755</v>
      </c>
      <c r="D101" t="s">
        <v>807</v>
      </c>
      <c r="E101" t="s">
        <v>382</v>
      </c>
      <c r="F101" t="s">
        <v>491</v>
      </c>
      <c r="G101" t="s">
        <v>464</v>
      </c>
    </row>
    <row r="102" spans="1:8" x14ac:dyDescent="0.2">
      <c r="A102" t="s">
        <v>185</v>
      </c>
      <c r="B102">
        <v>31</v>
      </c>
      <c r="C102">
        <v>26370</v>
      </c>
      <c r="D102" t="s">
        <v>807</v>
      </c>
      <c r="E102" s="3" t="s">
        <v>494</v>
      </c>
      <c r="F102" t="s">
        <v>495</v>
      </c>
      <c r="G102" t="s">
        <v>424</v>
      </c>
    </row>
    <row r="103" spans="1:8" x14ac:dyDescent="0.2">
      <c r="A103" t="s">
        <v>189</v>
      </c>
      <c r="B103">
        <v>1031</v>
      </c>
      <c r="C103">
        <v>2067168</v>
      </c>
      <c r="D103" t="s">
        <v>807</v>
      </c>
      <c r="E103" s="3" t="s">
        <v>501</v>
      </c>
      <c r="F103" t="s">
        <v>502</v>
      </c>
      <c r="G103" t="s">
        <v>464</v>
      </c>
    </row>
    <row r="104" spans="1:8" x14ac:dyDescent="0.2">
      <c r="A104" t="s">
        <v>192</v>
      </c>
      <c r="B104">
        <v>83</v>
      </c>
      <c r="C104">
        <v>352126</v>
      </c>
      <c r="D104" t="s">
        <v>807</v>
      </c>
      <c r="E104" s="3" t="s">
        <v>506</v>
      </c>
      <c r="F104" t="s">
        <v>507</v>
      </c>
      <c r="G104" t="s">
        <v>508</v>
      </c>
    </row>
    <row r="105" spans="1:8" x14ac:dyDescent="0.2">
      <c r="A105" t="s">
        <v>197</v>
      </c>
      <c r="B105">
        <v>35</v>
      </c>
      <c r="C105">
        <v>1028</v>
      </c>
      <c r="D105" t="s">
        <v>807</v>
      </c>
      <c r="E105" s="3" t="s">
        <v>515</v>
      </c>
      <c r="F105" t="s">
        <v>516</v>
      </c>
    </row>
    <row r="106" spans="1:8" x14ac:dyDescent="0.2">
      <c r="A106" t="s">
        <v>200</v>
      </c>
      <c r="B106">
        <v>132</v>
      </c>
      <c r="C106">
        <v>3552</v>
      </c>
      <c r="D106" t="s">
        <v>807</v>
      </c>
      <c r="E106" s="3" t="s">
        <v>522</v>
      </c>
      <c r="F106" t="s">
        <v>523</v>
      </c>
      <c r="G106" t="s">
        <v>524</v>
      </c>
    </row>
    <row r="107" spans="1:8" x14ac:dyDescent="0.2">
      <c r="A107" t="s">
        <v>206</v>
      </c>
      <c r="B107">
        <v>66</v>
      </c>
      <c r="C107">
        <v>284085</v>
      </c>
      <c r="D107" t="s">
        <v>807</v>
      </c>
      <c r="E107" t="s">
        <v>382</v>
      </c>
      <c r="F107" t="s">
        <v>534</v>
      </c>
      <c r="G107" t="s">
        <v>464</v>
      </c>
      <c r="H107" t="s">
        <v>464</v>
      </c>
    </row>
    <row r="108" spans="1:8" x14ac:dyDescent="0.2">
      <c r="A108" t="s">
        <v>212</v>
      </c>
      <c r="B108">
        <v>111</v>
      </c>
      <c r="C108">
        <v>110272</v>
      </c>
      <c r="D108" t="s">
        <v>807</v>
      </c>
      <c r="E108" t="s">
        <v>543</v>
      </c>
      <c r="F108" t="s">
        <v>544</v>
      </c>
      <c r="G108" t="s">
        <v>545</v>
      </c>
    </row>
    <row r="109" spans="1:8" x14ac:dyDescent="0.2">
      <c r="A109" t="s">
        <v>213</v>
      </c>
      <c r="B109">
        <v>68</v>
      </c>
      <c r="C109">
        <v>1692</v>
      </c>
      <c r="D109" t="s">
        <v>807</v>
      </c>
      <c r="E109" t="s">
        <v>382</v>
      </c>
      <c r="F109" t="s">
        <v>546</v>
      </c>
      <c r="G109" t="s">
        <v>449</v>
      </c>
    </row>
    <row r="110" spans="1:8" x14ac:dyDescent="0.2">
      <c r="A110" t="s">
        <v>216</v>
      </c>
      <c r="B110">
        <v>36</v>
      </c>
      <c r="C110">
        <v>141771</v>
      </c>
      <c r="D110" t="s">
        <v>807</v>
      </c>
      <c r="E110" t="s">
        <v>382</v>
      </c>
      <c r="F110" t="s">
        <v>552</v>
      </c>
      <c r="G110" t="s">
        <v>553</v>
      </c>
    </row>
    <row r="111" spans="1:8" x14ac:dyDescent="0.2">
      <c r="A111" t="s">
        <v>220</v>
      </c>
      <c r="B111">
        <v>269</v>
      </c>
      <c r="C111">
        <v>94696</v>
      </c>
      <c r="D111" t="s">
        <v>807</v>
      </c>
      <c r="E111" s="3" t="s">
        <v>559</v>
      </c>
      <c r="F111" t="s">
        <v>560</v>
      </c>
      <c r="G111" t="s">
        <v>561</v>
      </c>
    </row>
  </sheetData>
  <sortState xmlns:xlrd2="http://schemas.microsoft.com/office/spreadsheetml/2017/richdata2" ref="A3:H111">
    <sortCondition ref="D3:D111"/>
    <sortCondition ref="A3:A111"/>
  </sortState>
  <hyperlinks>
    <hyperlink ref="E5" r:id="rId1" xr:uid="{375BF6A4-89CD-BD4A-9222-A14C5DC4F78F}"/>
    <hyperlink ref="E6" r:id="rId2" xr:uid="{2D629A77-7227-7B4F-AA65-41B2A64EA5E9}"/>
    <hyperlink ref="E7" r:id="rId3" xr:uid="{BE4C746A-AE1E-1148-9953-43676F2C149C}"/>
    <hyperlink ref="E8" r:id="rId4" xr:uid="{11310ACA-5005-9648-B425-A52EC7AE96BF}"/>
    <hyperlink ref="E9" r:id="rId5" xr:uid="{0C53F5A1-CDAC-7943-8481-282284944562}"/>
    <hyperlink ref="E10" r:id="rId6" xr:uid="{08C68843-DE89-3E45-A726-BB0B67780638}"/>
    <hyperlink ref="E12" r:id="rId7" xr:uid="{4E03AA70-C582-A142-9FF3-BD6D2F76F832}"/>
    <hyperlink ref="E15" r:id="rId8" xr:uid="{EF3D38AD-97FB-4746-B25D-EB27875831A6}"/>
    <hyperlink ref="E16" r:id="rId9" xr:uid="{8252E606-9313-954D-89CB-B57E776C8F0B}"/>
    <hyperlink ref="E22" r:id="rId10" xr:uid="{04DB68CC-2730-EB4F-9FF7-E8502634A15A}"/>
    <hyperlink ref="E23" r:id="rId11" xr:uid="{3C6A3AE6-ACCF-B348-B2EB-8FAEBED88727}"/>
    <hyperlink ref="E30" r:id="rId12" xr:uid="{9ED83F3C-AEBC-3B47-925A-009C5D62FD20}"/>
    <hyperlink ref="E31" r:id="rId13" xr:uid="{7EA85FE3-136D-B84B-A238-612811966018}"/>
    <hyperlink ref="E33" r:id="rId14" xr:uid="{8DAFF793-8034-0D45-8F47-EEC51D26602A}"/>
    <hyperlink ref="E35" r:id="rId15" xr:uid="{ADF33A94-7E7A-DF44-9E9A-E4667D3E2183}"/>
    <hyperlink ref="E90" r:id="rId16" xr:uid="{8D918BDE-2016-3342-8CBB-04865697E1C5}"/>
    <hyperlink ref="E37" r:id="rId17" xr:uid="{2E71108B-6386-F348-A459-D9C8E5A47F32}"/>
    <hyperlink ref="E38" r:id="rId18" xr:uid="{0DD30B98-D06B-BB42-B6C5-5EBB5F558FCF}"/>
    <hyperlink ref="E42" r:id="rId19" xr:uid="{8AC3A3B8-711D-CB4C-A774-3190698662AF}"/>
    <hyperlink ref="E93" r:id="rId20" xr:uid="{160305CC-E50B-6F48-9FC2-88D0ED422C0D}"/>
    <hyperlink ref="E94" r:id="rId21" xr:uid="{933C20E2-5605-D240-88C4-B9F430D42F40}"/>
    <hyperlink ref="E44" r:id="rId22" xr:uid="{0FE62525-DB29-3C4B-94F5-21F18E72F5E7}"/>
    <hyperlink ref="E45" r:id="rId23" xr:uid="{235DA382-02B5-114A-9520-DEA1329E3B3E}"/>
    <hyperlink ref="E95" r:id="rId24" xr:uid="{094952D6-1D06-4F47-B408-03D4577D9C89}"/>
    <hyperlink ref="E96" r:id="rId25" xr:uid="{77E5792D-4CDF-F941-9689-9CE78AB6D2FE}"/>
    <hyperlink ref="E97" r:id="rId26" xr:uid="{9FECA997-6F63-214E-9B1F-A22CC4863859}"/>
    <hyperlink ref="E47" r:id="rId27" xr:uid="{06FC16F4-7A74-054E-A4A2-9B10683CF3C4}"/>
    <hyperlink ref="E48" r:id="rId28" xr:uid="{91070B91-5F6C-1340-94A4-BB6408AEAD5E}"/>
    <hyperlink ref="E53" r:id="rId29" xr:uid="{C991453C-909B-B54F-A93D-122F44A66D38}"/>
    <hyperlink ref="E52" r:id="rId30" xr:uid="{DA09BEB0-C72A-834C-98BA-310CFEE84817}"/>
    <hyperlink ref="E54" r:id="rId31" xr:uid="{0F2BD437-E477-B34A-9FD8-D4C67182AC5F}"/>
    <hyperlink ref="E102" r:id="rId32" xr:uid="{F645034A-4579-714D-93EA-D3EFFD639A67}"/>
    <hyperlink ref="E58" r:id="rId33" xr:uid="{1BE75718-291A-D345-BE50-DA2914B1C33F}"/>
    <hyperlink ref="E103" r:id="rId34" xr:uid="{8BC85649-CC5A-2C42-A80C-B35E8D3FD8AD}"/>
    <hyperlink ref="E104" r:id="rId35" xr:uid="{2483EF93-0263-C347-A65F-38D50F954D37}"/>
    <hyperlink ref="E64" r:id="rId36" xr:uid="{FB8779E2-EA30-2B42-9FAD-35E4A8BD5B89}"/>
    <hyperlink ref="E105" r:id="rId37" xr:uid="{E6C8070F-32CF-B146-8B22-D7641AE40993}"/>
    <hyperlink ref="E66" r:id="rId38" xr:uid="{27E837DE-3401-ED4F-ADBC-D79B385D2AAE}"/>
    <hyperlink ref="E67" r:id="rId39" xr:uid="{81EDD4DE-FEC0-D048-9EBD-94654AA57BEC}"/>
    <hyperlink ref="E106" r:id="rId40" xr:uid="{3909613B-FB86-D145-9C33-3F01E41A5C04}"/>
    <hyperlink ref="E68" r:id="rId41" xr:uid="{07D6DB82-F9B1-D844-A2CB-AB606AB2864B}"/>
    <hyperlink ref="E69" r:id="rId42" xr:uid="{1E9F5290-EB88-714E-A6DA-CA69F62BEA6C}"/>
    <hyperlink ref="E72" r:id="rId43" xr:uid="{4228BF8E-D1D4-EC44-956D-BB7F9EF1FAF7}"/>
    <hyperlink ref="E73" r:id="rId44" xr:uid="{74E5F171-7748-E647-A80C-91487ECFFB77}"/>
    <hyperlink ref="E76" r:id="rId45" xr:uid="{272D3083-32CD-0D45-80D2-65A665A801C1}"/>
    <hyperlink ref="E78" r:id="rId46" xr:uid="{2E01F240-4FEA-3E43-B242-495C9DCF37C2}"/>
    <hyperlink ref="E79" r:id="rId47" xr:uid="{2BCF6E76-70A2-4C4B-993B-90644CAFA861}"/>
    <hyperlink ref="E80" r:id="rId48" xr:uid="{695EB3C5-1189-6D4F-B6C7-BA7F5F199594}"/>
    <hyperlink ref="E81" r:id="rId49" xr:uid="{09E534CD-E169-094E-B839-174D68B3AD5E}"/>
    <hyperlink ref="E111" r:id="rId50" xr:uid="{C7AD7683-2754-C047-8532-9E9F808D3F3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992F-4592-6A4B-83D5-E3D0F6C601A6}">
  <dimension ref="A1:D87"/>
  <sheetViews>
    <sheetView topLeftCell="A36" workbookViewId="0">
      <selection activeCell="F29" sqref="F29"/>
    </sheetView>
  </sheetViews>
  <sheetFormatPr baseColWidth="10" defaultRowHeight="16" x14ac:dyDescent="0.2"/>
  <cols>
    <col min="2" max="2" width="25.1640625" bestFit="1" customWidth="1"/>
    <col min="3" max="3" width="17.33203125" bestFit="1" customWidth="1"/>
    <col min="4" max="4" width="11.33203125" customWidth="1"/>
  </cols>
  <sheetData>
    <row r="1" spans="1:3" s="6" customFormat="1" x14ac:dyDescent="0.2">
      <c r="A1" s="6" t="s">
        <v>895</v>
      </c>
    </row>
    <row r="2" spans="1:3" x14ac:dyDescent="0.2">
      <c r="A2" s="8" t="s">
        <v>0</v>
      </c>
      <c r="B2" s="8" t="s">
        <v>883</v>
      </c>
      <c r="C2" s="8" t="s">
        <v>884</v>
      </c>
    </row>
    <row r="3" spans="1:3" x14ac:dyDescent="0.2">
      <c r="A3" t="s">
        <v>112</v>
      </c>
      <c r="B3">
        <v>52</v>
      </c>
      <c r="C3">
        <v>9913</v>
      </c>
    </row>
    <row r="4" spans="1:3" x14ac:dyDescent="0.2">
      <c r="A4" t="s">
        <v>113</v>
      </c>
      <c r="B4">
        <v>11235</v>
      </c>
      <c r="C4">
        <v>1705436</v>
      </c>
    </row>
    <row r="5" spans="1:3" x14ac:dyDescent="0.2">
      <c r="A5" t="s">
        <v>114</v>
      </c>
      <c r="B5">
        <v>22</v>
      </c>
      <c r="C5">
        <v>94085</v>
      </c>
    </row>
    <row r="6" spans="1:3" x14ac:dyDescent="0.2">
      <c r="A6" t="s">
        <v>115</v>
      </c>
      <c r="B6">
        <v>19</v>
      </c>
      <c r="C6">
        <v>50851</v>
      </c>
    </row>
    <row r="7" spans="1:3" x14ac:dyDescent="0.2">
      <c r="A7" t="s">
        <v>116</v>
      </c>
      <c r="B7">
        <v>321</v>
      </c>
      <c r="C7">
        <v>503198</v>
      </c>
    </row>
    <row r="8" spans="1:3" x14ac:dyDescent="0.2">
      <c r="A8" t="s">
        <v>117</v>
      </c>
      <c r="B8">
        <v>41</v>
      </c>
      <c r="C8">
        <v>99709</v>
      </c>
    </row>
    <row r="9" spans="1:3" x14ac:dyDescent="0.2">
      <c r="A9" t="s">
        <v>118</v>
      </c>
      <c r="B9">
        <v>20</v>
      </c>
      <c r="C9">
        <v>67956</v>
      </c>
    </row>
    <row r="10" spans="1:3" x14ac:dyDescent="0.2">
      <c r="A10" t="s">
        <v>119</v>
      </c>
      <c r="B10">
        <v>494</v>
      </c>
      <c r="C10">
        <v>2690256</v>
      </c>
    </row>
    <row r="11" spans="1:3" x14ac:dyDescent="0.2">
      <c r="A11" t="s">
        <v>120</v>
      </c>
      <c r="B11">
        <v>16</v>
      </c>
      <c r="C11">
        <v>101366</v>
      </c>
    </row>
    <row r="12" spans="1:3" x14ac:dyDescent="0.2">
      <c r="A12" t="s">
        <v>121</v>
      </c>
      <c r="B12">
        <v>469</v>
      </c>
      <c r="C12">
        <v>1189954</v>
      </c>
    </row>
    <row r="13" spans="1:3" x14ac:dyDescent="0.2">
      <c r="A13" t="s">
        <v>124</v>
      </c>
      <c r="B13">
        <v>710</v>
      </c>
      <c r="C13">
        <v>192414</v>
      </c>
    </row>
    <row r="14" spans="1:3" x14ac:dyDescent="0.2">
      <c r="A14" t="s">
        <v>125</v>
      </c>
      <c r="B14">
        <v>24</v>
      </c>
      <c r="C14">
        <v>440</v>
      </c>
    </row>
    <row r="15" spans="1:3" x14ac:dyDescent="0.2">
      <c r="A15" t="s">
        <v>126</v>
      </c>
      <c r="B15">
        <v>117</v>
      </c>
      <c r="C15">
        <v>167998</v>
      </c>
    </row>
    <row r="16" spans="1:3" x14ac:dyDescent="0.2">
      <c r="A16" t="s">
        <v>127</v>
      </c>
      <c r="B16">
        <v>97</v>
      </c>
      <c r="C16">
        <v>663743</v>
      </c>
    </row>
    <row r="17" spans="1:4" x14ac:dyDescent="0.2">
      <c r="A17" t="s">
        <v>128</v>
      </c>
      <c r="B17">
        <v>103</v>
      </c>
      <c r="C17">
        <v>254261</v>
      </c>
      <c r="D17" s="5"/>
    </row>
    <row r="18" spans="1:4" x14ac:dyDescent="0.2">
      <c r="A18" t="s">
        <v>130</v>
      </c>
      <c r="B18">
        <v>91</v>
      </c>
      <c r="C18">
        <v>358820</v>
      </c>
    </row>
    <row r="19" spans="1:4" x14ac:dyDescent="0.2">
      <c r="A19" t="s">
        <v>132</v>
      </c>
      <c r="B19">
        <v>223</v>
      </c>
      <c r="C19">
        <v>94959</v>
      </c>
    </row>
    <row r="20" spans="1:4" x14ac:dyDescent="0.2">
      <c r="A20" t="s">
        <v>133</v>
      </c>
      <c r="B20">
        <v>121</v>
      </c>
      <c r="C20">
        <v>520288</v>
      </c>
    </row>
    <row r="21" spans="1:4" x14ac:dyDescent="0.2">
      <c r="A21" t="s">
        <v>134</v>
      </c>
      <c r="B21">
        <v>96</v>
      </c>
      <c r="C21">
        <v>1667</v>
      </c>
    </row>
    <row r="22" spans="1:4" x14ac:dyDescent="0.2">
      <c r="A22" t="s">
        <v>135</v>
      </c>
      <c r="B22">
        <v>47</v>
      </c>
      <c r="C22">
        <v>190287</v>
      </c>
    </row>
    <row r="23" spans="1:4" x14ac:dyDescent="0.2">
      <c r="A23" t="s">
        <v>136</v>
      </c>
      <c r="B23">
        <v>100</v>
      </c>
      <c r="C23">
        <v>74252</v>
      </c>
    </row>
    <row r="24" spans="1:4" x14ac:dyDescent="0.2">
      <c r="A24" t="s">
        <v>137</v>
      </c>
      <c r="B24">
        <v>61</v>
      </c>
      <c r="C24">
        <v>61992</v>
      </c>
    </row>
    <row r="25" spans="1:4" x14ac:dyDescent="0.2">
      <c r="A25" t="s">
        <v>138</v>
      </c>
      <c r="B25">
        <v>90</v>
      </c>
      <c r="C25">
        <v>253127</v>
      </c>
    </row>
    <row r="26" spans="1:4" x14ac:dyDescent="0.2">
      <c r="A26" t="s">
        <v>139</v>
      </c>
      <c r="B26">
        <v>418</v>
      </c>
      <c r="C26">
        <v>394387</v>
      </c>
    </row>
    <row r="27" spans="1:4" x14ac:dyDescent="0.2">
      <c r="A27" t="s">
        <v>140</v>
      </c>
      <c r="B27">
        <v>12</v>
      </c>
      <c r="C27">
        <v>72058</v>
      </c>
    </row>
    <row r="28" spans="1:4" x14ac:dyDescent="0.2">
      <c r="A28" t="s">
        <v>142</v>
      </c>
      <c r="B28">
        <v>1848</v>
      </c>
      <c r="C28">
        <v>939051</v>
      </c>
    </row>
    <row r="29" spans="1:4" x14ac:dyDescent="0.2">
      <c r="A29" t="s">
        <v>143</v>
      </c>
      <c r="B29">
        <v>504</v>
      </c>
      <c r="C29">
        <v>328577</v>
      </c>
    </row>
    <row r="30" spans="1:4" x14ac:dyDescent="0.2">
      <c r="A30" t="s">
        <v>144</v>
      </c>
      <c r="B30">
        <v>219</v>
      </c>
      <c r="C30">
        <v>244791</v>
      </c>
    </row>
    <row r="31" spans="1:4" x14ac:dyDescent="0.2">
      <c r="A31" t="s">
        <v>145</v>
      </c>
      <c r="B31">
        <v>116</v>
      </c>
      <c r="C31">
        <v>73261</v>
      </c>
    </row>
    <row r="32" spans="1:4" x14ac:dyDescent="0.2">
      <c r="A32" t="s">
        <v>146</v>
      </c>
      <c r="B32">
        <v>20</v>
      </c>
      <c r="C32">
        <v>9734</v>
      </c>
    </row>
    <row r="33" spans="1:3" x14ac:dyDescent="0.2">
      <c r="A33" t="s">
        <v>149</v>
      </c>
      <c r="B33">
        <v>251</v>
      </c>
      <c r="C33">
        <v>262570</v>
      </c>
    </row>
    <row r="34" spans="1:3" x14ac:dyDescent="0.2">
      <c r="A34" t="s">
        <v>150</v>
      </c>
      <c r="B34">
        <v>1239</v>
      </c>
      <c r="C34">
        <v>982343</v>
      </c>
    </row>
    <row r="35" spans="1:3" x14ac:dyDescent="0.2">
      <c r="A35" t="s">
        <v>151</v>
      </c>
      <c r="B35">
        <v>1013</v>
      </c>
      <c r="C35">
        <v>35184</v>
      </c>
    </row>
    <row r="36" spans="1:3" x14ac:dyDescent="0.2">
      <c r="A36" t="s">
        <v>153</v>
      </c>
      <c r="B36">
        <v>612</v>
      </c>
      <c r="C36">
        <v>155511</v>
      </c>
    </row>
    <row r="37" spans="1:3" x14ac:dyDescent="0.2">
      <c r="A37" t="s">
        <v>154</v>
      </c>
      <c r="B37">
        <v>1347</v>
      </c>
      <c r="C37">
        <v>1006866</v>
      </c>
    </row>
    <row r="38" spans="1:3" x14ac:dyDescent="0.2">
      <c r="A38" t="s">
        <v>156</v>
      </c>
      <c r="B38">
        <v>250</v>
      </c>
      <c r="C38">
        <v>58129</v>
      </c>
    </row>
    <row r="39" spans="1:3" x14ac:dyDescent="0.2">
      <c r="A39" t="s">
        <v>157</v>
      </c>
      <c r="B39">
        <v>589</v>
      </c>
      <c r="C39">
        <v>302519</v>
      </c>
    </row>
    <row r="40" spans="1:3" x14ac:dyDescent="0.2">
      <c r="A40" t="s">
        <v>158</v>
      </c>
      <c r="B40">
        <v>48</v>
      </c>
      <c r="C40">
        <v>267417</v>
      </c>
    </row>
    <row r="41" spans="1:3" x14ac:dyDescent="0.2">
      <c r="A41" t="s">
        <v>159</v>
      </c>
      <c r="B41">
        <v>16569</v>
      </c>
      <c r="C41">
        <v>2969246</v>
      </c>
    </row>
    <row r="42" spans="1:3" x14ac:dyDescent="0.2">
      <c r="A42" t="s">
        <v>160</v>
      </c>
      <c r="B42">
        <v>173</v>
      </c>
      <c r="C42">
        <v>4944</v>
      </c>
    </row>
    <row r="43" spans="1:3" x14ac:dyDescent="0.2">
      <c r="A43" t="s">
        <v>162</v>
      </c>
      <c r="B43">
        <v>677</v>
      </c>
      <c r="C43">
        <v>339542</v>
      </c>
    </row>
    <row r="44" spans="1:3" x14ac:dyDescent="0.2">
      <c r="A44" t="s">
        <v>165</v>
      </c>
      <c r="B44">
        <v>138</v>
      </c>
      <c r="C44">
        <v>272878</v>
      </c>
    </row>
    <row r="45" spans="1:3" x14ac:dyDescent="0.2">
      <c r="A45" t="s">
        <v>166</v>
      </c>
      <c r="B45">
        <v>33</v>
      </c>
      <c r="C45">
        <v>187203</v>
      </c>
    </row>
    <row r="46" spans="1:3" x14ac:dyDescent="0.2">
      <c r="A46" t="s">
        <v>169</v>
      </c>
      <c r="B46">
        <v>163</v>
      </c>
      <c r="C46">
        <v>97700</v>
      </c>
    </row>
    <row r="47" spans="1:3" x14ac:dyDescent="0.2">
      <c r="A47" t="s">
        <v>171</v>
      </c>
      <c r="B47">
        <v>73</v>
      </c>
      <c r="C47">
        <v>61943</v>
      </c>
    </row>
    <row r="48" spans="1:3" x14ac:dyDescent="0.2">
      <c r="A48" t="s">
        <v>173</v>
      </c>
      <c r="B48">
        <v>80</v>
      </c>
      <c r="C48">
        <v>639075</v>
      </c>
    </row>
    <row r="49" spans="1:3" x14ac:dyDescent="0.2">
      <c r="A49" t="s">
        <v>175</v>
      </c>
      <c r="B49">
        <v>52</v>
      </c>
      <c r="C49">
        <v>224641</v>
      </c>
    </row>
    <row r="50" spans="1:3" x14ac:dyDescent="0.2">
      <c r="A50" t="s">
        <v>176</v>
      </c>
      <c r="B50">
        <v>14</v>
      </c>
      <c r="C50">
        <v>4754</v>
      </c>
    </row>
    <row r="51" spans="1:3" x14ac:dyDescent="0.2">
      <c r="A51" t="s">
        <v>177</v>
      </c>
      <c r="B51">
        <v>537</v>
      </c>
      <c r="C51">
        <v>572707</v>
      </c>
    </row>
    <row r="52" spans="1:3" x14ac:dyDescent="0.2">
      <c r="A52" t="s">
        <v>178</v>
      </c>
      <c r="B52">
        <v>410</v>
      </c>
      <c r="C52">
        <v>119431</v>
      </c>
    </row>
    <row r="53" spans="1:3" x14ac:dyDescent="0.2">
      <c r="A53" t="s">
        <v>179</v>
      </c>
      <c r="B53">
        <v>2756</v>
      </c>
      <c r="C53">
        <v>191343</v>
      </c>
    </row>
    <row r="54" spans="1:3" x14ac:dyDescent="0.2">
      <c r="A54" t="s">
        <v>180</v>
      </c>
      <c r="B54">
        <v>101</v>
      </c>
      <c r="C54">
        <v>18288</v>
      </c>
    </row>
    <row r="55" spans="1:3" x14ac:dyDescent="0.2">
      <c r="A55" t="s">
        <v>183</v>
      </c>
      <c r="B55">
        <v>898</v>
      </c>
      <c r="C55">
        <v>489563</v>
      </c>
    </row>
    <row r="56" spans="1:3" x14ac:dyDescent="0.2">
      <c r="A56" t="s">
        <v>184</v>
      </c>
      <c r="B56">
        <v>67</v>
      </c>
      <c r="C56">
        <v>114075</v>
      </c>
    </row>
    <row r="57" spans="1:3" x14ac:dyDescent="0.2">
      <c r="A57" t="s">
        <v>186</v>
      </c>
      <c r="B57">
        <v>6473</v>
      </c>
      <c r="C57">
        <v>1410477</v>
      </c>
    </row>
    <row r="58" spans="1:3" x14ac:dyDescent="0.2">
      <c r="A58" t="s">
        <v>187</v>
      </c>
      <c r="B58">
        <v>150</v>
      </c>
      <c r="C58">
        <v>33898</v>
      </c>
    </row>
    <row r="59" spans="1:3" x14ac:dyDescent="0.2">
      <c r="A59" t="s">
        <v>188</v>
      </c>
      <c r="B59">
        <v>92</v>
      </c>
      <c r="C59">
        <v>237837</v>
      </c>
    </row>
    <row r="60" spans="1:3" x14ac:dyDescent="0.2">
      <c r="A60" t="s">
        <v>190</v>
      </c>
      <c r="B60">
        <v>11</v>
      </c>
      <c r="C60">
        <v>57117</v>
      </c>
    </row>
    <row r="61" spans="1:3" x14ac:dyDescent="0.2">
      <c r="A61" t="s">
        <v>191</v>
      </c>
      <c r="B61">
        <v>125</v>
      </c>
      <c r="C61">
        <v>145913</v>
      </c>
    </row>
    <row r="62" spans="1:3" x14ac:dyDescent="0.2">
      <c r="A62" t="s">
        <v>193</v>
      </c>
      <c r="B62">
        <v>72</v>
      </c>
      <c r="C62">
        <v>88724</v>
      </c>
    </row>
    <row r="63" spans="1:3" x14ac:dyDescent="0.2">
      <c r="A63" t="s">
        <v>194</v>
      </c>
      <c r="B63">
        <v>1871</v>
      </c>
      <c r="C63">
        <v>379638</v>
      </c>
    </row>
    <row r="64" spans="1:3" x14ac:dyDescent="0.2">
      <c r="A64" t="s">
        <v>195</v>
      </c>
      <c r="B64">
        <v>213</v>
      </c>
      <c r="C64">
        <v>662926</v>
      </c>
    </row>
    <row r="65" spans="1:4" x14ac:dyDescent="0.2">
      <c r="A65" t="s">
        <v>196</v>
      </c>
      <c r="B65">
        <v>133</v>
      </c>
      <c r="C65">
        <v>255198</v>
      </c>
      <c r="D65" s="5"/>
    </row>
    <row r="66" spans="1:4" x14ac:dyDescent="0.2">
      <c r="A66" t="s">
        <v>198</v>
      </c>
      <c r="B66">
        <v>191</v>
      </c>
      <c r="C66">
        <v>787928</v>
      </c>
    </row>
    <row r="67" spans="1:4" x14ac:dyDescent="0.2">
      <c r="A67" t="s">
        <v>199</v>
      </c>
      <c r="B67">
        <v>17</v>
      </c>
      <c r="C67">
        <v>91897</v>
      </c>
    </row>
    <row r="68" spans="1:4" x14ac:dyDescent="0.2">
      <c r="A68" t="s">
        <v>201</v>
      </c>
      <c r="B68">
        <v>69</v>
      </c>
      <c r="C68">
        <v>334425</v>
      </c>
    </row>
    <row r="69" spans="1:4" x14ac:dyDescent="0.2">
      <c r="A69" t="s">
        <v>202</v>
      </c>
      <c r="B69">
        <v>447</v>
      </c>
      <c r="C69">
        <v>780922</v>
      </c>
    </row>
    <row r="70" spans="1:4" x14ac:dyDescent="0.2">
      <c r="A70" t="s">
        <v>203</v>
      </c>
      <c r="B70">
        <v>168</v>
      </c>
      <c r="C70">
        <v>5545</v>
      </c>
    </row>
    <row r="71" spans="1:4" x14ac:dyDescent="0.2">
      <c r="A71" t="s">
        <v>204</v>
      </c>
      <c r="B71">
        <v>58</v>
      </c>
      <c r="C71">
        <v>9485</v>
      </c>
    </row>
    <row r="72" spans="1:4" x14ac:dyDescent="0.2">
      <c r="A72" t="s">
        <v>205</v>
      </c>
      <c r="B72">
        <v>50</v>
      </c>
      <c r="C72">
        <v>130945</v>
      </c>
    </row>
    <row r="73" spans="1:4" x14ac:dyDescent="0.2">
      <c r="A73" t="s">
        <v>207</v>
      </c>
      <c r="B73">
        <v>253</v>
      </c>
      <c r="C73">
        <v>245862</v>
      </c>
    </row>
    <row r="74" spans="1:4" x14ac:dyDescent="0.2">
      <c r="A74" t="s">
        <v>208</v>
      </c>
      <c r="B74">
        <v>213</v>
      </c>
      <c r="C74">
        <v>520118</v>
      </c>
    </row>
    <row r="75" spans="1:4" x14ac:dyDescent="0.2">
      <c r="A75" t="s">
        <v>209</v>
      </c>
      <c r="B75">
        <v>491</v>
      </c>
      <c r="C75">
        <v>58396</v>
      </c>
    </row>
    <row r="76" spans="1:4" x14ac:dyDescent="0.2">
      <c r="A76" t="s">
        <v>210</v>
      </c>
      <c r="B76">
        <v>519</v>
      </c>
      <c r="C76">
        <v>646607</v>
      </c>
    </row>
    <row r="77" spans="1:4" x14ac:dyDescent="0.2">
      <c r="A77" t="s">
        <v>211</v>
      </c>
      <c r="B77">
        <v>813</v>
      </c>
      <c r="C77">
        <v>805874</v>
      </c>
    </row>
    <row r="78" spans="1:4" x14ac:dyDescent="0.2">
      <c r="A78" t="s">
        <v>214</v>
      </c>
      <c r="B78">
        <v>21</v>
      </c>
      <c r="C78">
        <v>6632</v>
      </c>
    </row>
    <row r="79" spans="1:4" x14ac:dyDescent="0.2">
      <c r="A79" t="s">
        <v>215</v>
      </c>
      <c r="B79">
        <v>241</v>
      </c>
      <c r="C79">
        <v>23730</v>
      </c>
    </row>
    <row r="80" spans="1:4" x14ac:dyDescent="0.2">
      <c r="A80" t="s">
        <v>217</v>
      </c>
      <c r="B80">
        <v>69</v>
      </c>
      <c r="C80">
        <v>151775</v>
      </c>
    </row>
    <row r="81" spans="1:3" x14ac:dyDescent="0.2">
      <c r="A81" t="s">
        <v>218</v>
      </c>
      <c r="B81">
        <v>340</v>
      </c>
      <c r="C81">
        <v>1599939</v>
      </c>
    </row>
    <row r="82" spans="1:3" x14ac:dyDescent="0.2">
      <c r="A82" t="s">
        <v>219</v>
      </c>
      <c r="B82">
        <v>94</v>
      </c>
      <c r="C82">
        <v>164127</v>
      </c>
    </row>
    <row r="85" spans="1:3" x14ac:dyDescent="0.2">
      <c r="A85" t="s">
        <v>880</v>
      </c>
      <c r="B85">
        <f>MIN(B3:B82)</f>
        <v>11</v>
      </c>
    </row>
    <row r="86" spans="1:3" x14ac:dyDescent="0.2">
      <c r="A86" t="s">
        <v>881</v>
      </c>
      <c r="B86">
        <f>MAX(B3:B82)</f>
        <v>16569</v>
      </c>
    </row>
    <row r="87" spans="1:3" x14ac:dyDescent="0.2">
      <c r="A87" t="s">
        <v>882</v>
      </c>
      <c r="B87">
        <f>SUM(B3:B82)</f>
        <v>58990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S.cerevisiae_all</vt:lpstr>
      <vt:lpstr>S.cerevisiae_curated</vt:lpstr>
      <vt:lpstr>S.cerevisiae_used</vt:lpstr>
      <vt:lpstr>E.coli_all</vt:lpstr>
      <vt:lpstr>E.coli_curated</vt:lpstr>
      <vt:lpstr>E.coli_used</vt:lpstr>
      <vt:lpstr>E.coli_all!ecoli_summary_1</vt:lpstr>
      <vt:lpstr>E.coli_curated!filtered_summary</vt:lpstr>
      <vt:lpstr>S.cerevisiae_curated!filtered_summary</vt:lpstr>
      <vt:lpstr>E.coli_curated!filtered_summary_1</vt:lpstr>
      <vt:lpstr>S.cerevisiae_curated!filtered_summary_1</vt:lpstr>
      <vt:lpstr>S.cerevisiae_all!yeast_summary_1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Landerer</dc:creator>
  <cp:lastModifiedBy>Agnes Toth-Petroczy</cp:lastModifiedBy>
  <dcterms:created xsi:type="dcterms:W3CDTF">2023-01-13T13:26:52Z</dcterms:created>
  <dcterms:modified xsi:type="dcterms:W3CDTF">2023-04-19T12:32:37Z</dcterms:modified>
</cp:coreProperties>
</file>